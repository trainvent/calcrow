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Januar" sheetId="1" state="visible" r:id="rId3"/>
    <sheet name="Februar" sheetId="2" state="visible" r:id="rId4"/>
    <sheet name="Marz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<sst xmlns="http://schemas.openxmlformats.org/spreadsheetml/2006/main" count="163" uniqueCount="113">
  <si>
    <t xml:space="preserve">Datum</t>
  </si>
  <si>
    <t xml:space="preserve">Beginn</t>
  </si>
  <si>
    <t xml:space="preserve">Ende</t>
  </si>
  <si>
    <t xml:space="preserve">Pause</t>
  </si>
  <si>
    <t xml:space="preserve">Stunden</t>
  </si>
  <si>
    <t xml:space="preserve">Stunden Decimal</t>
  </si>
  <si>
    <t xml:space="preserve">Verdienst</t>
  </si>
  <si>
    <t xml:space="preserve">2026-01-01</t>
  </si>
  <si>
    <t xml:space="preserve">08:20:00</t>
  </si>
  <si>
    <t xml:space="preserve">18:15:00</t>
  </si>
  <si>
    <t xml:space="preserve">03:00:00</t>
  </si>
  <si>
    <t xml:space="preserve">Stundenlohn: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</si>
  <si>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</si>
  <si>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</si>
  <si>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</si>
  <si>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</si>
  <si>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08:45:00</t>
  </si>
  <si>
    <t xml:space="preserve">19:15:00</t>
  </si>
  <si>
    <t xml:space="preserve">00:15:00</t>
  </si>
  <si>
    <t xml:space="preserve">2026-01-06</t>
  </si>
  <si>
    <t xml:space="preserve">17:00:00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</si>
  <si>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</si>
  <si>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</si>
  <si>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</si>
  <si>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</si>
  <si>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</si>
  <si>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</si>
  <si>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</si>
  <si>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</si>
  <si>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</si>
  <si>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</si>
  <si>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</si>
  <si>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</si>
  <si>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</si>
  <si>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</si>
  <si>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10:30:00</t>
  </si>
  <si>
    <t xml:space="preserve">16:30:00</t>
  </si>
  <si>
    <t xml:space="preserve">2026-01-21</t>
  </si>
  <si>
    <t xml:space="preserve">2026-01-22</t>
  </si>
  <si>
    <t xml:space="preserve">2026-01-23</t>
  </si>
  <si>
    <t xml:space="preserve">08:00:00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</si>
  <si>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</si>
  <si>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</si>
  <si>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</si>
  <si>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</si>
  <si>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</si>
  <si>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</si>
  <si>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</si>
  <si>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</si>
  <si>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Summe</t>
  </si>
  <si>
    <t xml:space="preserve">2026-02-01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</si>
  <si>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</si>
  <si>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</si>
  <si>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</si>
  <si>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</si>
  <si>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</si>
  <si>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</si>
  <si>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</si>
  <si>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</si>
  <si>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</si>
  <si>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</si>
  <si>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</si>
  <si>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</si>
  <si>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</si>
  <si>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</si>
  <si>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</si>
  <si>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</si>
  <si>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</si>
  <si>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</si>
  <si>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</si>
  <si>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k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</si>
  <si>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</si>
  <si>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</si>
  <si>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</si>
  <si>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</si>
  <si>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</si>
  <si>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</si>
  <si>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</si>
  <si>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</si>
  <si>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2026-02-29</t>
  </si>
  <si>
    <t xml:space="preserve">2026-02-30</t>
  </si>
  <si>
    <t xml:space="preserve">2026-02-31</t>
  </si>
  <si>
    <t xml:space="preserve">2026-03-01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</si>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</sst>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\ AM/PM"/>
    <numFmt numFmtId="166" formatCode="0.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0"/>
      <color theme="1"/>
      <name val="Times New Roman"/>
      <family val="0"/>
      <charset val="1"/>
    </font>
    <font>
      <sz val="11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</font>
      <fill>
        <patternFill>
          <bgColor rgb="FFFFFF99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false" zeroHeight="false" outlineLevelRow="0" outlineLevelCol="0"/>
  <cols>
    <col collapsed="false" customWidth="true" hidden="false" outlineLevel="0" max="1" min="1" style="1" width="11.63"/>
    <col collapsed="false" customWidth="true" hidden="false" outlineLevel="0" max="2" min="2" style="1" width="11.5"/>
    <col collapsed="false" customWidth="true" hidden="false" outlineLevel="0" max="5" min="5" style="1" width="13.63"/>
    <col collapsed="false" customWidth="true" hidden="false" outlineLevel="0" max="6" min="6" style="1" width="11.5"/>
    <col collapsed="false" customWidth="true" hidden="false" outlineLevel="0" max="7" min="7" style="1" width="8.63"/>
    <col collapsed="false" customWidth="true" hidden="false" outlineLevel="0" max="9" min="9" style="1" width="8.76"/>
    <col collapsed="false" customWidth="true" hidden="false" outlineLevel="0" max="10" min="10" style="1" width="8.6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75" hidden="false" customHeight="tru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n">
        <f aca="false">C2-B2-D2</f>
        <v>0.288194444444444</v>
      </c>
      <c r="F2" s="4" t="n">
        <f aca="false">E2*24</f>
        <v>6.91666666666667</v>
      </c>
      <c r="G2" s="5" t="n">
        <f aca="false">F2*$J$2</f>
        <v>100.291666666667</v>
      </c>
      <c r="I2" s="6" t="s">
        <v>11</v>
      </c>
      <c r="J2" s="7" t="n">
        <v>14.5</v>
      </c>
    </row>
    <row r="3" customFormat="false" ht="12.75" hidden="false" customHeight="true" outlineLevel="0" collapsed="false">
      <c r="A3" s="2" t="s">
        <v>12</v>
      </c>
      <c r="B3" s="2"/>
      <c r="C3" s="2"/>
      <c r="D3" s="2"/>
      <c r="E3" s="3" t="n">
        <f aca="false">C3-B3-D3</f>
        <v>0</v>
      </c>
    </row>
    <row r="4" customFormat="false" ht="12.75" hidden="false" customHeight="true" outlineLevel="0" collapsed="false">
      <c r="A4" s="2" t="s">
        <v>13</v>
      </c>
      <c r="B4" s="2"/>
      <c r="C4" s="2"/>
      <c r="D4" s="2"/>
      <c r="E4" s="3" t="n">
        <f aca="false">C4-B4-D4</f>
        <v>0</v>
      </c>
    </row>
    <row r="5" customFormat="false" ht="12.75" hidden="false" customHeight="true" outlineLevel="0" collapsed="false">
      <c r="A5" s="2" t="s">
        <v>14</v>
      </c>
      <c r="B5" s="2" t="s">
        <v>8</v>
      </c>
      <c r="C5" s="2" t="s">
        <v>9</v>
      </c>
      <c r="D5" s="2" t="s">
        <v>10</v>
      </c>
      <c r="E5" s="3" t="n">
        <f aca="false">C5-B5-D5</f>
        <v>0.288194444444444</v>
      </c>
      <c r="F5" s="4" t="n">
        <f aca="false">E5*24</f>
        <v>6.91666666666667</v>
      </c>
      <c r="G5" s="5" t="n">
        <f aca="false">F5*$J$2</f>
        <v>100.291666666667</v>
      </c>
    </row>
    <row r="6" customFormat="false" ht="12.75" hidden="false" customHeight="true" outlineLevel="0" collapsed="false">
      <c r="A6" s="2" t="s">
        <v>15</v>
      </c>
      <c r="B6" s="2" t="s">
        <v>16</v>
      </c>
      <c r="C6" s="2" t="s">
        <v>17</v>
      </c>
      <c r="D6" s="2" t="s">
        <v>18</v>
      </c>
      <c r="E6" s="3" t="n">
        <f aca="false">C6-B6-D6</f>
        <v>0.427083333333333</v>
      </c>
      <c r="F6" s="4" t="n">
        <f aca="false">E6*24</f>
        <v>10.25</v>
      </c>
      <c r="G6" s="5" t="n">
        <f aca="false">F6*$J$2</f>
        <v>148.625</v>
      </c>
    </row>
    <row r="7" customFormat="false" ht="12.75" hidden="false" customHeight="true" outlineLevel="0" collapsed="false">
      <c r="A7" s="2" t="s">
        <v>19</v>
      </c>
      <c r="B7" s="2" t="s">
        <v>16</v>
      </c>
      <c r="C7" s="2" t="s">
        <v>20</v>
      </c>
      <c r="D7" s="2" t="s">
        <v>18</v>
      </c>
      <c r="E7" s="3" t="n">
        <f aca="false">C7-B7-D7</f>
        <v>0.333333333333333</v>
      </c>
      <c r="F7" s="4" t="n">
        <f aca="false">E7*24</f>
        <v>8</v>
      </c>
      <c r="G7" s="5" t="n">
        <f aca="false">F7*$J$2</f>
        <v>116</v>
      </c>
    </row>
    <row r="8" customFormat="false" ht="12.75" hidden="false" customHeight="true" outlineLevel="0" collapsed="false">
      <c r="A8" s="2" t="s">
        <v>21</v>
      </c>
      <c r="B8" s="2"/>
      <c r="C8" s="2"/>
      <c r="D8" s="2"/>
      <c r="E8" s="3" t="n">
        <f aca="false">C8-B8-D8</f>
        <v>0</v>
      </c>
      <c r="F8" s="4" t="n">
        <f aca="false">E8*24</f>
        <v>0</v>
      </c>
      <c r="G8" s="5" t="n">
        <f aca="false">F8*$J$2</f>
        <v>0</v>
      </c>
    </row>
    <row r="9" customFormat="false" ht="12.75" hidden="false" customHeight="true" outlineLevel="0" collapsed="false">
      <c r="A9" s="2" t="s">
        <v>22</v>
      </c>
      <c r="B9" s="2"/>
      <c r="C9" s="2"/>
      <c r="D9" s="2"/>
      <c r="E9" s="3" t="n">
        <f aca="false">C9-B9-D9</f>
        <v>0</v>
      </c>
      <c r="F9" s="4" t="n">
        <f aca="false">E9*24</f>
        <v>0</v>
      </c>
      <c r="G9" s="5" t="n">
        <f aca="false">F9*$J$2</f>
        <v>0</v>
      </c>
    </row>
    <row r="10" customFormat="false" ht="12.75" hidden="false" customHeight="true" outlineLevel="0" collapsed="false">
      <c r="A10" s="2" t="s">
        <v>23</v>
      </c>
      <c r="B10" s="2"/>
      <c r="C10" s="2"/>
      <c r="D10" s="2"/>
      <c r="E10" s="3" t="n">
        <f aca="false">C10-B10-D10</f>
        <v>0</v>
      </c>
      <c r="F10" s="4" t="n">
        <f aca="false">E10*24</f>
        <v>0</v>
      </c>
      <c r="G10" s="5" t="n">
        <f aca="false">F10*$J$2</f>
        <v>0</v>
      </c>
    </row>
    <row r="11" customFormat="false" ht="12.75" hidden="false" customHeight="true" outlineLevel="0" collapsed="false">
      <c r="A11" s="2" t="s">
        <v>24</v>
      </c>
      <c r="B11" s="2"/>
      <c r="C11" s="2"/>
      <c r="D11" s="2"/>
      <c r="E11" s="3" t="n">
        <f aca="false">C11-B11-D11</f>
        <v>0</v>
      </c>
      <c r="F11" s="4" t="n">
        <f aca="false">E11*24</f>
        <v>0</v>
      </c>
      <c r="G11" s="5" t="n">
        <f aca="false">F11*$J$2</f>
        <v>0</v>
      </c>
    </row>
    <row r="12" customFormat="false" ht="12.75" hidden="false" customHeight="true" outlineLevel="0" collapsed="false">
      <c r="A12" s="2" t="s">
        <v>25</v>
      </c>
      <c r="B12" s="2"/>
      <c r="C12" s="2"/>
      <c r="D12" s="2"/>
      <c r="E12" s="3" t="n">
        <f aca="false">C12-B12-D12</f>
        <v>0</v>
      </c>
      <c r="F12" s="4" t="n">
        <f aca="false">E12*24</f>
        <v>0</v>
      </c>
      <c r="G12" s="5" t="n">
        <f aca="false">F12*$J$2</f>
        <v>0</v>
      </c>
    </row>
    <row r="13" customFormat="false" ht="12.75" hidden="false" customHeight="true" outlineLevel="0" collapsed="false">
      <c r="A13" s="2" t="s">
        <v>26</v>
      </c>
      <c r="B13" s="2" t="s">
        <v>16</v>
      </c>
      <c r="C13" s="2" t="s">
        <v>20</v>
      </c>
      <c r="D13" s="2" t="s">
        <v>18</v>
      </c>
      <c r="E13" s="3" t="n">
        <f aca="false">C13-B13-D13</f>
        <v>0.333333333333333</v>
      </c>
      <c r="F13" s="4" t="n">
        <f aca="false">E13*24</f>
        <v>8</v>
      </c>
      <c r="G13" s="5" t="n">
        <f aca="false">F13*$J$2</f>
        <v>116</v>
      </c>
    </row>
    <row r="14" customFormat="false" ht="12.75" hidden="false" customHeight="true" outlineLevel="0" collapsed="false">
      <c r="A14" s="2" t="s">
        <v>27</v>
      </c>
      <c r="B14" s="2"/>
      <c r="C14" s="2"/>
      <c r="D14" s="2"/>
      <c r="E14" s="3" t="n">
        <f aca="false">C14-B14-D14</f>
        <v>0</v>
      </c>
      <c r="F14" s="4" t="n">
        <f aca="false">E14*24</f>
        <v>0</v>
      </c>
      <c r="G14" s="5" t="n">
        <f aca="false">F14*$J$2</f>
        <v>0</v>
      </c>
    </row>
    <row r="15" customFormat="false" ht="12.75" hidden="false" customHeight="true" outlineLevel="0" collapsed="false">
      <c r="A15" s="2" t="s">
        <v>28</v>
      </c>
      <c r="B15" s="2"/>
      <c r="C15" s="2"/>
      <c r="D15" s="2"/>
      <c r="E15" s="3" t="n">
        <f aca="false">C15-B15-D15</f>
        <v>0</v>
      </c>
      <c r="F15" s="4" t="n">
        <f aca="false">E15*24</f>
        <v>0</v>
      </c>
      <c r="G15" s="5" t="n">
        <f aca="false">F15*$J$2</f>
        <v>0</v>
      </c>
    </row>
    <row r="16" customFormat="false" ht="12.75" hidden="false" customHeight="true" outlineLevel="0" collapsed="false">
      <c r="A16" s="2" t="s">
        <v>29</v>
      </c>
      <c r="B16" s="2"/>
      <c r="C16" s="2"/>
      <c r="D16" s="2"/>
      <c r="E16" s="3" t="n">
        <f aca="false">C16-B16-D16</f>
        <v>0</v>
      </c>
      <c r="F16" s="4" t="n">
        <f aca="false">E16*24</f>
        <v>0</v>
      </c>
      <c r="G16" s="5" t="n">
        <f aca="false">F16*$J$2</f>
        <v>0</v>
      </c>
    </row>
    <row r="17" customFormat="false" ht="12.75" hidden="false" customHeight="true" outlineLevel="0" collapsed="false">
      <c r="A17" s="2" t="s">
        <v>30</v>
      </c>
      <c r="B17" s="2"/>
      <c r="C17" s="2"/>
      <c r="D17" s="2"/>
      <c r="E17" s="3" t="n">
        <f aca="false">C17-B17-D17</f>
        <v>0</v>
      </c>
      <c r="F17" s="4" t="n">
        <f aca="false">E17*24</f>
        <v>0</v>
      </c>
      <c r="G17" s="5" t="n">
        <f aca="false">F17*$J$2</f>
        <v>0</v>
      </c>
    </row>
    <row r="18" customFormat="false" ht="12.75" hidden="false" customHeight="true" outlineLevel="0" collapsed="false">
      <c r="A18" s="2" t="s">
        <v>31</v>
      </c>
      <c r="B18" s="2"/>
      <c r="C18" s="2"/>
      <c r="D18" s="2"/>
      <c r="E18" s="3" t="n">
        <f aca="false">C18-B18-D18</f>
        <v>0</v>
      </c>
      <c r="F18" s="4" t="n">
        <f aca="false">E18*24</f>
        <v>0</v>
      </c>
      <c r="G18" s="5" t="n">
        <f aca="false">F18*$J$2</f>
        <v>0</v>
      </c>
    </row>
    <row r="19" customFormat="false" ht="12.75" hidden="false" customHeight="true" outlineLevel="0" collapsed="false">
      <c r="A19" s="2" t="s">
        <v>32</v>
      </c>
      <c r="B19" s="2"/>
      <c r="C19" s="2"/>
      <c r="D19" s="2"/>
      <c r="E19" s="3" t="n">
        <f aca="false">C19-B19-D19</f>
        <v>0</v>
      </c>
      <c r="F19" s="4" t="n">
        <f aca="false">E19*24</f>
        <v>0</v>
      </c>
      <c r="G19" s="5" t="n">
        <f aca="false">F19*$J$2</f>
        <v>0</v>
      </c>
    </row>
    <row r="20" customFormat="false" ht="12.75" hidden="false" customHeight="true" outlineLevel="0" collapsed="false">
      <c r="A20" s="2" t="s">
        <v>33</v>
      </c>
      <c r="B20" s="2"/>
      <c r="C20" s="2"/>
      <c r="D20" s="2"/>
      <c r="E20" s="3" t="n">
        <f aca="false">C20-B20-D20</f>
        <v>0</v>
      </c>
      <c r="F20" s="4" t="n">
        <f aca="false">E20*24</f>
        <v>0</v>
      </c>
      <c r="G20" s="5" t="n">
        <f aca="false">F20*$J$2</f>
        <v>0</v>
      </c>
    </row>
    <row r="21" customFormat="false" ht="12.75" hidden="false" customHeight="true" outlineLevel="0" collapsed="false">
      <c r="A21" s="2" t="s">
        <v>34</v>
      </c>
      <c r="B21" s="2" t="s">
        <v>35</v>
      </c>
      <c r="C21" s="2" t="s">
        <v>36</v>
      </c>
      <c r="D21" s="2" t="s">
        <v>18</v>
      </c>
      <c r="E21" s="3" t="n">
        <f aca="false">C21-B21-D21</f>
        <v>0.239583333333333</v>
      </c>
      <c r="F21" s="4" t="n">
        <f aca="false">E21*24</f>
        <v>5.75</v>
      </c>
      <c r="G21" s="5" t="n">
        <f aca="false">F21*$J$2</f>
        <v>83.375</v>
      </c>
    </row>
    <row r="22" customFormat="false" ht="12.75" hidden="false" customHeight="true" outlineLevel="0" collapsed="false">
      <c r="A22" s="2" t="s">
        <v>37</v>
      </c>
      <c r="B22" s="2"/>
      <c r="C22" s="2"/>
      <c r="D22" s="2"/>
      <c r="E22" s="3" t="n">
        <f aca="false">C22-B22-D22</f>
        <v>0</v>
      </c>
      <c r="F22" s="4" t="n">
        <f aca="false">E22*24</f>
        <v>0</v>
      </c>
      <c r="G22" s="5" t="n">
        <f aca="false">F22*$J$2</f>
        <v>0</v>
      </c>
    </row>
    <row r="23" customFormat="false" ht="12.75" hidden="false" customHeight="true" outlineLevel="0" collapsed="false">
      <c r="A23" s="2" t="s">
        <v>38</v>
      </c>
      <c r="B23" s="2"/>
      <c r="C23" s="2"/>
      <c r="D23" s="2"/>
      <c r="E23" s="3" t="n">
        <f aca="false">C23-B23-D23</f>
        <v>0</v>
      </c>
      <c r="F23" s="4" t="n">
        <f aca="false">E23*24</f>
        <v>0</v>
      </c>
      <c r="G23" s="5" t="n">
        <f aca="false">F23*$J$2</f>
        <v>0</v>
      </c>
    </row>
    <row r="24" customFormat="false" ht="12.75" hidden="false" customHeight="true" outlineLevel="0" collapsed="false">
      <c r="A24" s="2" t="s">
        <v>39</v>
      </c>
      <c r="B24" s="2" t="s">
        <v>40</v>
      </c>
      <c r="C24" s="2" t="s">
        <v>36</v>
      </c>
      <c r="D24" s="2" t="s">
        <v>18</v>
      </c>
      <c r="E24" s="3" t="n">
        <f aca="false">C24-B24-D24</f>
        <v>0.34375</v>
      </c>
      <c r="F24" s="4" t="n">
        <f aca="false">E24*24</f>
        <v>8.25</v>
      </c>
      <c r="G24" s="5" t="n">
        <f aca="false">F24*$J$2</f>
        <v>119.625</v>
      </c>
    </row>
    <row r="25" customFormat="false" ht="12.75" hidden="false" customHeight="true" outlineLevel="0" collapsed="false">
      <c r="A25" s="2" t="s">
        <v>41</v>
      </c>
      <c r="B25" s="2"/>
      <c r="C25" s="2"/>
      <c r="D25" s="2"/>
      <c r="E25" s="3" t="n">
        <f aca="false">C25-B25-D25</f>
        <v>0</v>
      </c>
      <c r="F25" s="4" t="n">
        <f aca="false">E25*24</f>
        <v>0</v>
      </c>
      <c r="G25" s="5" t="n">
        <f aca="false">F25*$J$2</f>
        <v>0</v>
      </c>
    </row>
    <row r="26" customFormat="false" ht="12.75" hidden="false" customHeight="true" outlineLevel="0" collapsed="false">
      <c r="A26" s="2" t="s">
        <v>42</v>
      </c>
      <c r="B26" s="2"/>
      <c r="C26" s="2"/>
      <c r="D26" s="2"/>
      <c r="E26" s="3" t="n">
        <f aca="false">C26-B26-D26</f>
        <v>0</v>
      </c>
      <c r="F26" s="4" t="n">
        <f aca="false">E26*24</f>
        <v>0</v>
      </c>
      <c r="G26" s="5" t="n">
        <f aca="false">F26*$J$2</f>
        <v>0</v>
      </c>
    </row>
    <row r="27" customFormat="false" ht="12.75" hidden="false" customHeight="true" outlineLevel="0" collapsed="false">
      <c r="A27" s="2" t="s">
        <v>43</v>
      </c>
      <c r="B27" s="2"/>
      <c r="C27" s="2"/>
      <c r="D27" s="2"/>
      <c r="E27" s="3" t="n">
        <f aca="false">C27-B27-D27</f>
        <v>0</v>
      </c>
      <c r="F27" s="4" t="n">
        <f aca="false">E27*24</f>
        <v>0</v>
      </c>
      <c r="G27" s="5" t="n">
        <f aca="false">F27*$J$2</f>
        <v>0</v>
      </c>
    </row>
    <row r="28" customFormat="false" ht="12.75" hidden="false" customHeight="true" outlineLevel="0" collapsed="false">
      <c r="A28" s="2" t="s">
        <v>44</v>
      </c>
      <c r="B28" s="2"/>
      <c r="C28" s="2"/>
      <c r="D28" s="2"/>
      <c r="E28" s="3" t="n">
        <f aca="false">C28-B28-D28</f>
        <v>0</v>
      </c>
      <c r="F28" s="4" t="n">
        <f aca="false">E28*24</f>
        <v>0</v>
      </c>
      <c r="G28" s="5" t="n">
        <f aca="false">F28*$J$2</f>
        <v>0</v>
      </c>
    </row>
    <row r="29" customFormat="false" ht="12.75" hidden="false" customHeight="true" outlineLevel="0" collapsed="false">
      <c r="A29" s="2" t="s">
        <v>45</v>
      </c>
      <c r="B29" s="2"/>
      <c r="C29" s="2"/>
      <c r="D29" s="2"/>
      <c r="E29" s="3" t="n">
        <f aca="false">C29-B29-D29</f>
        <v>0</v>
      </c>
      <c r="F29" s="4" t="n">
        <f aca="false">E29*24</f>
        <v>0</v>
      </c>
      <c r="G29" s="5" t="n">
        <f aca="false">F29*$J$2</f>
        <v>0</v>
      </c>
    </row>
    <row r="30" customFormat="false" ht="12.75" hidden="false" customHeight="true" outlineLevel="0" collapsed="false">
      <c r="A30" s="2" t="s">
        <v>46</v>
      </c>
      <c r="B30" s="2"/>
      <c r="C30" s="2"/>
      <c r="D30" s="2"/>
      <c r="E30" s="3" t="n">
        <f aca="false">C30-B30-D30</f>
        <v>0</v>
      </c>
      <c r="F30" s="4" t="n">
        <f aca="false">E30*24</f>
        <v>0</v>
      </c>
      <c r="G30" s="5" t="n">
        <f aca="false">F30*$J$2</f>
        <v>0</v>
      </c>
    </row>
    <row r="31" customFormat="false" ht="12.75" hidden="false" customHeight="true" outlineLevel="0" collapsed="false">
      <c r="A31" s="2" t="s">
        <v>47</v>
      </c>
      <c r="B31" s="2"/>
      <c r="C31" s="2"/>
      <c r="D31" s="2"/>
      <c r="E31" s="3" t="n">
        <f aca="false">C31-B31-D31</f>
        <v>0</v>
      </c>
      <c r="F31" s="4" t="n">
        <f aca="false">E31*24</f>
        <v>0</v>
      </c>
      <c r="G31" s="5" t="n">
        <f aca="false">F31*$J$2</f>
        <v>0</v>
      </c>
    </row>
    <row r="32" customFormat="false" ht="12.75" hidden="false" customHeight="true" outlineLevel="0" collapsed="false">
      <c r="A32" s="2" t="s">
        <v>48</v>
      </c>
      <c r="B32" s="2"/>
      <c r="C32" s="2"/>
      <c r="D32" s="2"/>
      <c r="E32" s="3" t="n">
        <f aca="false">C32-B32-D32</f>
        <v>0</v>
      </c>
      <c r="F32" s="4" t="n">
        <f aca="false">E32*24</f>
        <v>0</v>
      </c>
      <c r="G32" s="5" t="n">
        <f aca="false">F32*$J$2</f>
        <v>0</v>
      </c>
    </row>
    <row r="33" customFormat="false" ht="12.75" hidden="false" customHeight="true" outlineLevel="0" collapsed="false">
      <c r="A33" s="2"/>
      <c r="B33" s="2"/>
      <c r="C33" s="2"/>
      <c r="D33" s="2" t="s">
        <v>49</v>
      </c>
      <c r="F33" s="4"/>
    </row>
    <row r="34" customFormat="false" ht="12.75" hidden="false" customHeight="true" outlineLevel="0" collapsed="false">
      <c r="A34" s="2"/>
      <c r="B34" s="2"/>
      <c r="C34" s="2"/>
      <c r="D34" s="2"/>
      <c r="E34" s="8"/>
      <c r="F34" s="9" t="n">
        <f aca="false">SUM(F5:F33)</f>
        <v>47.1666666666667</v>
      </c>
      <c r="G34" s="9" t="n">
        <f aca="false">SUM(G5:G32)</f>
        <v>683.916666666667</v>
      </c>
    </row>
  </sheetData>
  <conditionalFormatting sqref="A1:G1 A33:G34 A2:A4 A6:F6 B2:F2 A7:D32 F7:F32 E8:E32 E3:E5 A5:D5 F5 E7 E9:E32 E9">
    <cfRule type="expression" priority="2" aboveAverage="0" equalAverage="0" bottom="0" percent="0" rank="0" text="" dxfId="0">
      <formula>WEEKDAY($A1,2)&gt;=7</formula>
    </cfRule>
  </conditionalFormatting>
  <conditionalFormatting sqref="E8:E32 E3:E5">
    <cfRule type="expression" priority="3" aboveAverage="0" equalAverage="0" bottom="0" percent="0" rank="0" text="" dxfId="0">
      <formula>WEEKDAY($A8,2)&gt;=7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&amp;C&amp;Amp;C&amp;Amp;uot;Times New Roman,Standarduot;&amp;Amp;12&amp;Amp;A</oddHeader>
    <oddFooter>&amp;C&amp;Amp;C&amp;Amp;uot;Times New Roman,Standarduot;&amp;Amp;12Seite &amp;Amp;P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1" width="16.27"/>
    <col collapsed="false" customWidth="true" hidden="false" outlineLevel="0" max="6" min="6" style="1" width="16.6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2" t="s">
        <v>50</v>
      </c>
      <c r="B2" s="2" t="s">
        <v>8</v>
      </c>
      <c r="C2" s="2" t="s">
        <v>9</v>
      </c>
      <c r="D2" s="2" t="s">
        <v>10</v>
      </c>
      <c r="E2" s="3" t="n">
        <f aca="false">(C2-B2-D2)</f>
        <v>0.288194444444444</v>
      </c>
      <c r="F2" s="4" t="n">
        <f aca="false">E2*24</f>
        <v>6.91666666666667</v>
      </c>
      <c r="G2" s="5" t="n">
        <f aca="false">F2*$J$2</f>
        <v>100.291666666667</v>
      </c>
      <c r="I2" s="6" t="s">
        <v>11</v>
      </c>
      <c r="J2" s="7" t="n">
        <v>14.5</v>
      </c>
    </row>
    <row r="3" customFormat="false" ht="12.8" hidden="false" customHeight="false" outlineLevel="0" collapsed="false">
      <c r="A3" s="2" t="s">
        <v>51</v>
      </c>
      <c r="B3" s="2"/>
      <c r="C3" s="2"/>
      <c r="D3" s="2"/>
      <c r="E3" s="3" t="n">
        <f aca="false">C3-B3-D3</f>
        <v>0</v>
      </c>
      <c r="F3" s="4" t="n">
        <f aca="false">E3*24</f>
        <v>0</v>
      </c>
      <c r="G3" s="5" t="n">
        <f aca="false">F3*$J$2</f>
        <v>0</v>
      </c>
    </row>
    <row r="4" customFormat="false" ht="12.8" hidden="false" customHeight="false" outlineLevel="0" collapsed="false">
      <c r="A4" s="2" t="s">
        <v>52</v>
      </c>
      <c r="B4" s="2"/>
      <c r="C4" s="2"/>
      <c r="D4" s="2"/>
      <c r="E4" s="3" t="n">
        <f aca="false">C4-B4-D4</f>
        <v>0</v>
      </c>
      <c r="F4" s="4" t="n">
        <f aca="false">E4*24</f>
        <v>0</v>
      </c>
      <c r="G4" s="5" t="n">
        <f aca="false">F4*$J$2</f>
        <v>0</v>
      </c>
    </row>
    <row r="5" customFormat="false" ht="12.8" hidden="false" customHeight="false" outlineLevel="0" collapsed="false">
      <c r="A5" s="2" t="s">
        <v>53</v>
      </c>
      <c r="B5" s="2" t="s">
        <v>8</v>
      </c>
      <c r="C5" s="2" t="s">
        <v>9</v>
      </c>
      <c r="D5" s="2" t="s">
        <v>10</v>
      </c>
      <c r="E5" s="3" t="n">
        <f aca="false">C5-B5-D5</f>
        <v>0.288194444444444</v>
      </c>
      <c r="F5" s="4" t="n">
        <f aca="false">E5*24</f>
        <v>6.91666666666667</v>
      </c>
      <c r="G5" s="5" t="n">
        <f aca="false">F5*$J$2</f>
        <v>100.291666666667</v>
      </c>
    </row>
    <row r="6" customFormat="false" ht="12.8" hidden="false" customHeight="false" outlineLevel="0" collapsed="false">
      <c r="A6" s="2" t="s">
        <v>54</v>
      </c>
      <c r="B6" s="2" t="s">
        <v>16</v>
      </c>
      <c r="C6" s="2" t="s">
        <v>17</v>
      </c>
      <c r="D6" s="2" t="s">
        <v>18</v>
      </c>
      <c r="E6" s="3" t="n">
        <f aca="false">C6-B6-D6</f>
        <v>0.427083333333333</v>
      </c>
      <c r="F6" s="4" t="n">
        <f aca="false">E6*24</f>
        <v>10.25</v>
      </c>
      <c r="G6" s="5" t="n">
        <f aca="false">F6*$J$2</f>
        <v>148.625</v>
      </c>
    </row>
    <row r="7" customFormat="false" ht="12.8" hidden="false" customHeight="false" outlineLevel="0" collapsed="false">
      <c r="A7" s="2" t="s">
        <v>55</v>
      </c>
      <c r="B7" s="2" t="s">
        <v>16</v>
      </c>
      <c r="C7" s="2" t="s">
        <v>20</v>
      </c>
      <c r="D7" s="2" t="s">
        <v>18</v>
      </c>
      <c r="E7" s="3" t="n">
        <f aca="false">C7-B7-D7</f>
        <v>0.333333333333333</v>
      </c>
      <c r="F7" s="4" t="n">
        <f aca="false">E7*24</f>
        <v>8</v>
      </c>
      <c r="G7" s="5" t="n">
        <f aca="false">F7*$J$2</f>
        <v>116</v>
      </c>
    </row>
    <row r="8" customFormat="false" ht="12.8" hidden="false" customHeight="false" outlineLevel="0" collapsed="false">
      <c r="A8" s="2" t="s">
        <v>56</v>
      </c>
      <c r="B8" s="2"/>
      <c r="C8" s="2"/>
      <c r="D8" s="2"/>
      <c r="E8" s="3" t="n">
        <f aca="false">C8-B8-D8</f>
        <v>0</v>
      </c>
      <c r="F8" s="4" t="n">
        <f aca="false">E8*24</f>
        <v>0</v>
      </c>
      <c r="G8" s="5" t="n">
        <f aca="false">F8*$J$2</f>
        <v>0</v>
      </c>
    </row>
    <row r="9" customFormat="false" ht="12.8" hidden="false" customHeight="false" outlineLevel="0" collapsed="false">
      <c r="A9" s="2" t="s">
        <v>57</v>
      </c>
      <c r="B9" s="2"/>
      <c r="C9" s="2"/>
      <c r="D9" s="2"/>
      <c r="E9" s="3" t="n">
        <f aca="false">C9-B9-D9</f>
        <v>0</v>
      </c>
      <c r="F9" s="4" t="n">
        <f aca="false">E9*24</f>
        <v>0</v>
      </c>
      <c r="G9" s="5" t="n">
        <f aca="false">F9*$J$2</f>
        <v>0</v>
      </c>
    </row>
    <row r="10" customFormat="false" ht="12.8" hidden="false" customHeight="false" outlineLevel="0" collapsed="false">
      <c r="A10" s="2" t="s">
        <v>58</v>
      </c>
      <c r="B10" s="2"/>
      <c r="C10" s="2"/>
      <c r="D10" s="2"/>
      <c r="E10" s="3" t="n">
        <f aca="false">C10-B10-D10</f>
        <v>0</v>
      </c>
      <c r="F10" s="4" t="n">
        <f aca="false">E10*24</f>
        <v>0</v>
      </c>
      <c r="G10" s="5" t="n">
        <f aca="false">F10*$J$2</f>
        <v>0</v>
      </c>
    </row>
    <row r="11" customFormat="false" ht="12.8" hidden="false" customHeight="false" outlineLevel="0" collapsed="false">
      <c r="A11" s="2" t="s">
        <v>59</v>
      </c>
      <c r="B11" s="2"/>
      <c r="C11" s="2"/>
      <c r="D11" s="2"/>
      <c r="E11" s="3" t="n">
        <f aca="false">C11-B11-D11</f>
        <v>0</v>
      </c>
      <c r="F11" s="4" t="n">
        <f aca="false">E11*24</f>
        <v>0</v>
      </c>
      <c r="G11" s="5" t="n">
        <f aca="false">F11*$J$2</f>
        <v>0</v>
      </c>
    </row>
    <row r="12" customFormat="false" ht="12.8" hidden="false" customHeight="false" outlineLevel="0" collapsed="false">
      <c r="A12" s="2" t="s">
        <v>60</v>
      </c>
      <c r="B12" s="2"/>
      <c r="C12" s="2"/>
      <c r="D12" s="2"/>
      <c r="E12" s="3" t="n">
        <f aca="false">C12-B12-D12</f>
        <v>0</v>
      </c>
      <c r="F12" s="4" t="n">
        <f aca="false">E12*24</f>
        <v>0</v>
      </c>
      <c r="G12" s="5" t="n">
        <f aca="false">F12*$J$2</f>
        <v>0</v>
      </c>
    </row>
    <row r="13" customFormat="false" ht="12.8" hidden="false" customHeight="false" outlineLevel="0" collapsed="false">
      <c r="A13" s="2" t="s">
        <v>61</v>
      </c>
      <c r="B13" s="2" t="s">
        <v>16</v>
      </c>
      <c r="C13" s="2" t="s">
        <v>20</v>
      </c>
      <c r="D13" s="2" t="s">
        <v>18</v>
      </c>
      <c r="E13" s="3" t="n">
        <f aca="false">C13-B13-D13</f>
        <v>0.333333333333333</v>
      </c>
      <c r="F13" s="4" t="n">
        <f aca="false">E13*24</f>
        <v>8</v>
      </c>
      <c r="G13" s="5" t="n">
        <f aca="false">F13*$J$2</f>
        <v>116</v>
      </c>
    </row>
    <row r="14" customFormat="false" ht="12.8" hidden="false" customHeight="false" outlineLevel="0" collapsed="false">
      <c r="A14" s="2" t="s">
        <v>62</v>
      </c>
      <c r="B14" s="2"/>
      <c r="C14" s="2"/>
      <c r="D14" s="2"/>
      <c r="E14" s="3" t="n">
        <f aca="false">C14-B14-D14</f>
        <v>0</v>
      </c>
      <c r="F14" s="4" t="n">
        <f aca="false">E14*24</f>
        <v>0</v>
      </c>
      <c r="G14" s="5" t="n">
        <f aca="false">F14*$J$2</f>
        <v>0</v>
      </c>
    </row>
    <row r="15" customFormat="false" ht="12.8" hidden="false" customHeight="false" outlineLevel="0" collapsed="false">
      <c r="A15" s="2" t="s">
        <v>63</v>
      </c>
      <c r="B15" s="2"/>
      <c r="C15" s="2"/>
      <c r="D15" s="2"/>
      <c r="E15" s="3" t="n">
        <f aca="false">C15-B15-D15</f>
        <v>0</v>
      </c>
      <c r="F15" s="4" t="n">
        <f aca="false">E15*24</f>
        <v>0</v>
      </c>
      <c r="G15" s="5" t="n">
        <f aca="false">F15*$J$2</f>
        <v>0</v>
      </c>
    </row>
    <row r="16" customFormat="false" ht="12.8" hidden="false" customHeight="false" outlineLevel="0" collapsed="false">
      <c r="A16" s="2" t="s">
        <v>64</v>
      </c>
      <c r="B16" s="2"/>
      <c r="C16" s="2"/>
      <c r="D16" s="2"/>
      <c r="E16" s="3" t="n">
        <f aca="false">C16-B16-D16</f>
        <v>0</v>
      </c>
      <c r="F16" s="4" t="n">
        <f aca="false">E16*24</f>
        <v>0</v>
      </c>
      <c r="G16" s="5" t="n">
        <f aca="false">F16*$J$2</f>
        <v>0</v>
      </c>
    </row>
    <row r="17" customFormat="false" ht="12.8" hidden="false" customHeight="false" outlineLevel="0" collapsed="false">
      <c r="A17" s="2" t="s">
        <v>65</v>
      </c>
      <c r="B17" s="2"/>
      <c r="C17" s="2"/>
      <c r="D17" s="2"/>
      <c r="E17" s="3" t="n">
        <f aca="false">C17-B17-D17</f>
        <v>0</v>
      </c>
      <c r="F17" s="4" t="n">
        <f aca="false">E17*24</f>
        <v>0</v>
      </c>
      <c r="G17" s="5" t="n">
        <f aca="false">F17*$J$2</f>
        <v>0</v>
      </c>
    </row>
    <row r="18" customFormat="false" ht="12.8" hidden="false" customHeight="false" outlineLevel="0" collapsed="false">
      <c r="A18" s="2" t="s">
        <v>66</v>
      </c>
      <c r="B18" s="2"/>
      <c r="C18" s="2"/>
      <c r="D18" s="2"/>
      <c r="E18" s="3" t="n">
        <f aca="false">C18-B18-D18</f>
        <v>0</v>
      </c>
      <c r="F18" s="4" t="n">
        <f aca="false">E18*24</f>
        <v>0</v>
      </c>
      <c r="G18" s="5" t="n">
        <f aca="false">F18*$J$2</f>
        <v>0</v>
      </c>
    </row>
    <row r="19" customFormat="false" ht="12.8" hidden="false" customHeight="false" outlineLevel="0" collapsed="false">
      <c r="A19" s="2" t="s">
        <v>67</v>
      </c>
      <c r="B19" s="2"/>
      <c r="C19" s="2"/>
      <c r="D19" s="2"/>
      <c r="E19" s="3" t="n">
        <f aca="false">C19-B19-D19</f>
        <v>0</v>
      </c>
      <c r="F19" s="4" t="n">
        <f aca="false">E19*24</f>
        <v>0</v>
      </c>
      <c r="G19" s="5" t="n">
        <f aca="false">F19*$J$2</f>
        <v>0</v>
      </c>
    </row>
    <row r="20" customFormat="false" ht="12.8" hidden="false" customHeight="false" outlineLevel="0" collapsed="false">
      <c r="A20" s="2" t="s">
        <v>68</v>
      </c>
      <c r="B20" s="2"/>
      <c r="C20" s="2"/>
      <c r="D20" s="2"/>
      <c r="E20" s="3" t="n">
        <f aca="false">C20-B20-D20</f>
        <v>0</v>
      </c>
      <c r="F20" s="4" t="n">
        <f aca="false">E20*24</f>
        <v>0</v>
      </c>
      <c r="G20" s="5" t="n">
        <f aca="false">F20*$J$2</f>
        <v>0</v>
      </c>
    </row>
    <row r="21" customFormat="false" ht="12.8" hidden="false" customHeight="false" outlineLevel="0" collapsed="false">
      <c r="A21" s="2" t="s">
        <v>69</v>
      </c>
      <c r="B21" s="2" t="s">
        <v>35</v>
      </c>
      <c r="C21" s="2" t="s">
        <v>36</v>
      </c>
      <c r="D21" s="2" t="s">
        <v>18</v>
      </c>
      <c r="E21" s="3" t="n">
        <f aca="false">C21-B21-D21</f>
        <v>0.239583333333333</v>
      </c>
      <c r="F21" s="4" t="n">
        <f aca="false">E21*24</f>
        <v>5.75</v>
      </c>
      <c r="G21" s="5" t="n">
        <f aca="false">F21*$J$2</f>
        <v>83.375</v>
      </c>
      <c r="K21" s="1" t="s">
        <v>70</v>
      </c>
    </row>
    <row r="22" customFormat="false" ht="12.8" hidden="false" customHeight="false" outlineLevel="0" collapsed="false">
      <c r="A22" s="2" t="s">
        <v>71</v>
      </c>
      <c r="B22" s="2"/>
      <c r="C22" s="2"/>
      <c r="D22" s="2"/>
      <c r="E22" s="3" t="n">
        <f aca="false">C22-B22-D22</f>
        <v>0</v>
      </c>
      <c r="F22" s="4" t="n">
        <f aca="false">E22*24</f>
        <v>0</v>
      </c>
      <c r="G22" s="5" t="n">
        <f aca="false">F22*$J$2</f>
        <v>0</v>
      </c>
    </row>
    <row r="23" customFormat="false" ht="12.8" hidden="false" customHeight="false" outlineLevel="0" collapsed="false">
      <c r="A23" s="2" t="s">
        <v>72</v>
      </c>
      <c r="B23" s="2"/>
      <c r="C23" s="2"/>
      <c r="D23" s="2"/>
      <c r="E23" s="3" t="n">
        <f aca="false">C23-B23-D23</f>
        <v>0</v>
      </c>
      <c r="F23" s="4" t="n">
        <f aca="false">E23*24</f>
        <v>0</v>
      </c>
      <c r="G23" s="5" t="n">
        <f aca="false">F23*$J$2</f>
        <v>0</v>
      </c>
    </row>
    <row r="24" customFormat="false" ht="12.8" hidden="false" customHeight="false" outlineLevel="0" collapsed="false">
      <c r="A24" s="2" t="s">
        <v>73</v>
      </c>
      <c r="B24" s="2" t="s">
        <v>40</v>
      </c>
      <c r="C24" s="2" t="s">
        <v>36</v>
      </c>
      <c r="D24" s="2" t="s">
        <v>18</v>
      </c>
      <c r="E24" s="3" t="n">
        <f aca="false">C24-B24-D24</f>
        <v>0.34375</v>
      </c>
      <c r="F24" s="4" t="n">
        <f aca="false">E24*24</f>
        <v>8.25</v>
      </c>
      <c r="G24" s="5" t="n">
        <f aca="false">F24*$J$2</f>
        <v>119.625</v>
      </c>
    </row>
    <row r="25" customFormat="false" ht="12.8" hidden="false" customHeight="false" outlineLevel="0" collapsed="false">
      <c r="A25" s="2" t="s">
        <v>74</v>
      </c>
      <c r="B25" s="2"/>
      <c r="C25" s="2"/>
      <c r="D25" s="2"/>
      <c r="E25" s="3" t="n">
        <f aca="false">C25-B25-D25</f>
        <v>0</v>
      </c>
      <c r="F25" s="4" t="n">
        <f aca="false">E25*24</f>
        <v>0</v>
      </c>
      <c r="G25" s="5" t="n">
        <f aca="false">F25*$J$2</f>
        <v>0</v>
      </c>
    </row>
    <row r="26" customFormat="false" ht="12.8" hidden="false" customHeight="false" outlineLevel="0" collapsed="false">
      <c r="A26" s="2" t="s">
        <v>75</v>
      </c>
      <c r="B26" s="2"/>
      <c r="C26" s="2"/>
      <c r="D26" s="2"/>
      <c r="E26" s="3" t="n">
        <f aca="false">C26-B26-D26</f>
        <v>0</v>
      </c>
      <c r="F26" s="4" t="n">
        <f aca="false">E26*24</f>
        <v>0</v>
      </c>
      <c r="G26" s="5" t="n">
        <f aca="false">F26*$J$2</f>
        <v>0</v>
      </c>
    </row>
    <row r="27" customFormat="false" ht="12.8" hidden="false" customHeight="false" outlineLevel="0" collapsed="false">
      <c r="A27" s="2" t="s">
        <v>76</v>
      </c>
      <c r="B27" s="2"/>
      <c r="C27" s="2"/>
      <c r="D27" s="2"/>
      <c r="E27" s="3" t="n">
        <f aca="false">C27-B27-D27</f>
        <v>0</v>
      </c>
      <c r="F27" s="4" t="n">
        <f aca="false">E27*24</f>
        <v>0</v>
      </c>
      <c r="G27" s="5" t="n">
        <f aca="false">F27*$J$2</f>
        <v>0</v>
      </c>
    </row>
    <row r="28" customFormat="false" ht="12.8" hidden="false" customHeight="false" outlineLevel="0" collapsed="false">
      <c r="A28" s="2" t="s">
        <v>77</v>
      </c>
      <c r="B28" s="2"/>
      <c r="C28" s="2"/>
      <c r="D28" s="2"/>
      <c r="E28" s="3" t="n">
        <f aca="false">C28-B28-D28</f>
        <v>0</v>
      </c>
      <c r="F28" s="4" t="n">
        <f aca="false">E28*24</f>
        <v>0</v>
      </c>
      <c r="G28" s="5" t="n">
        <f aca="false">F28*$J$2</f>
        <v>0</v>
      </c>
    </row>
    <row r="29" customFormat="false" ht="12.8" hidden="false" customHeight="false" outlineLevel="0" collapsed="false">
      <c r="A29" s="2" t="s">
        <v>78</v>
      </c>
      <c r="B29" s="2"/>
      <c r="C29" s="2"/>
      <c r="D29" s="2"/>
      <c r="E29" s="3" t="n">
        <f aca="false">C29-B29-D29</f>
        <v>0</v>
      </c>
      <c r="F29" s="4" t="n">
        <f aca="false">E29*24</f>
        <v>0</v>
      </c>
      <c r="G29" s="5" t="n">
        <f aca="false">F29*$J$2</f>
        <v>0</v>
      </c>
    </row>
    <row r="30" customFormat="false" ht="12.8" hidden="false" customHeight="false" outlineLevel="0" collapsed="false">
      <c r="A30" s="2" t="s">
        <v>79</v>
      </c>
      <c r="B30" s="2"/>
      <c r="C30" s="2"/>
      <c r="D30" s="2"/>
      <c r="E30" s="3" t="n">
        <f aca="false">C30-B30-D30</f>
        <v>0</v>
      </c>
      <c r="F30" s="4" t="n">
        <f aca="false">E30*24</f>
        <v>0</v>
      </c>
      <c r="G30" s="5" t="n">
        <f aca="false">F30*$J$2</f>
        <v>0</v>
      </c>
    </row>
    <row r="31" customFormat="false" ht="12.8" hidden="false" customHeight="false" outlineLevel="0" collapsed="false">
      <c r="A31" s="2" t="s">
        <v>80</v>
      </c>
      <c r="B31" s="2"/>
      <c r="C31" s="2"/>
      <c r="D31" s="2"/>
      <c r="E31" s="3" t="n">
        <f aca="false">C31-B31-D31</f>
        <v>0</v>
      </c>
      <c r="F31" s="4" t="n">
        <f aca="false">E31*24</f>
        <v>0</v>
      </c>
      <c r="G31" s="5" t="n">
        <f aca="false">F31*$J$2</f>
        <v>0</v>
      </c>
    </row>
    <row r="32" customFormat="false" ht="12.8" hidden="false" customHeight="false" outlineLevel="0" collapsed="false">
      <c r="A32" s="2" t="s">
        <v>81</v>
      </c>
      <c r="B32" s="2"/>
      <c r="C32" s="2"/>
      <c r="D32" s="2"/>
      <c r="E32" s="3" t="n">
        <f aca="false">C32-B32-D32</f>
        <v>0</v>
      </c>
      <c r="F32" s="4" t="n">
        <f aca="false">E32*24</f>
        <v>0</v>
      </c>
      <c r="G32" s="5" t="n">
        <f aca="false">F32*$J$2</f>
        <v>0</v>
      </c>
    </row>
    <row r="33" customFormat="false" ht="12.8" hidden="false" customHeight="false" outlineLevel="0" collapsed="false">
      <c r="A33" s="2"/>
      <c r="B33" s="2"/>
      <c r="C33" s="2"/>
      <c r="D33" s="2" t="s">
        <v>49</v>
      </c>
      <c r="F33" s="4"/>
      <c r="G33" s="1"/>
    </row>
    <row r="34" customFormat="false" ht="12.8" hidden="false" customHeight="false" outlineLevel="0" collapsed="false">
      <c r="A34" s="2"/>
      <c r="B34" s="2"/>
      <c r="C34" s="2"/>
      <c r="D34" s="2"/>
      <c r="E34" s="8"/>
      <c r="F34" s="9" t="n">
        <f aca="false">SUM(F5:F33)</f>
        <v>47.1666666666667</v>
      </c>
      <c r="G34" s="9" t="n">
        <f aca="false">SUM(G5:G32)</f>
        <v>683.916666666667</v>
      </c>
    </row>
  </sheetData>
  <conditionalFormatting sqref="A1:G1 A33:G34 A2:A32 B2:F2 B5:D32 E3:F32">
    <cfRule type="expression" priority="2" aboveAverage="0" equalAverage="0" bottom="0" percent="0" rank="0" text="" dxfId="0">
      <formula>WEEKDAY($A1,2)&gt;=7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0" width="20.73"/>
    <col collapsed="false" customWidth="true" hidden="false" outlineLevel="0" max="6" min="6" style="0" width="13.4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2" t="s">
        <v>82</v>
      </c>
      <c r="B2" s="2"/>
      <c r="C2" s="2"/>
      <c r="D2" s="2"/>
      <c r="E2" s="3" t="n">
        <f aca="false">(C2-B2-D2)</f>
        <v>0</v>
      </c>
      <c r="F2" s="4" t="n">
        <f aca="false">E2*24</f>
        <v>0</v>
      </c>
      <c r="G2" s="5" t="n">
        <f aca="false">F2*$J$2</f>
        <v>0</v>
      </c>
      <c r="I2" s="6" t="s">
        <v>11</v>
      </c>
      <c r="J2" s="7" t="n">
        <v>14.5</v>
      </c>
    </row>
    <row r="3" customFormat="false" ht="12.8" hidden="false" customHeight="false" outlineLevel="0" collapsed="false">
      <c r="A3" s="2" t="s">
        <v>83</v>
      </c>
      <c r="B3" s="2"/>
      <c r="C3" s="2"/>
      <c r="D3" s="2"/>
      <c r="E3" s="3" t="n">
        <f aca="false">C3-B3-D3</f>
        <v>0</v>
      </c>
      <c r="F3" s="4" t="n">
        <f aca="false">E3*24</f>
        <v>0</v>
      </c>
      <c r="G3" s="5" t="n">
        <f aca="false">F3*$J$2</f>
        <v>0</v>
      </c>
    </row>
    <row r="4" customFormat="false" ht="12.8" hidden="false" customHeight="false" outlineLevel="0" collapsed="false">
      <c r="A4" s="2" t="s">
        <v>84</v>
      </c>
      <c r="B4" s="2"/>
      <c r="C4" s="2"/>
      <c r="D4" s="2"/>
      <c r="E4" s="3" t="n">
        <f aca="false">C4-B4-D4</f>
        <v>0</v>
      </c>
      <c r="F4" s="4" t="n">
        <f aca="false">E4*24</f>
        <v>0</v>
      </c>
      <c r="G4" s="5" t="n">
        <f aca="false">F4*$J$2</f>
        <v>0</v>
      </c>
    </row>
    <row r="5" customFormat="false" ht="12.8" hidden="false" customHeight="false" outlineLevel="0" collapsed="false">
      <c r="A5" s="2" t="s">
        <v>85</v>
      </c>
      <c r="B5" s="2"/>
      <c r="C5" s="2"/>
      <c r="D5" s="2"/>
      <c r="E5" s="3" t="n">
        <f aca="false">C5-B5-D5</f>
        <v>0</v>
      </c>
      <c r="F5" s="4" t="n">
        <f aca="false">E5*24</f>
        <v>0</v>
      </c>
      <c r="G5" s="5" t="n">
        <f aca="false">F5*$J$2</f>
        <v>0</v>
      </c>
    </row>
    <row r="6" customFormat="false" ht="12.8" hidden="false" customHeight="false" outlineLevel="0" collapsed="false">
      <c r="A6" s="2" t="s">
        <v>86</v>
      </c>
      <c r="B6" s="2"/>
      <c r="C6" s="2"/>
      <c r="D6" s="2"/>
      <c r="E6" s="3" t="n">
        <f aca="false">C6-B6-D6</f>
        <v>0</v>
      </c>
      <c r="F6" s="4" t="n">
        <f aca="false">E6*24</f>
        <v>0</v>
      </c>
      <c r="G6" s="5" t="n">
        <f aca="false">F6*$J$2</f>
        <v>0</v>
      </c>
    </row>
    <row r="7" customFormat="false" ht="12.8" hidden="false" customHeight="false" outlineLevel="0" collapsed="false">
      <c r="A7" s="2" t="s">
        <v>87</v>
      </c>
      <c r="B7" s="2"/>
      <c r="C7" s="2"/>
      <c r="D7" s="2"/>
      <c r="E7" s="3" t="n">
        <f aca="false">C7-B7-D7</f>
        <v>0</v>
      </c>
      <c r="F7" s="4" t="n">
        <f aca="false">E7*24</f>
        <v>0</v>
      </c>
      <c r="G7" s="5" t="n">
        <f aca="false">F7*$J$2</f>
        <v>0</v>
      </c>
    </row>
    <row r="8" customFormat="false" ht="12.8" hidden="false" customHeight="false" outlineLevel="0" collapsed="false">
      <c r="A8" s="2" t="s">
        <v>88</v>
      </c>
      <c r="B8" s="2"/>
      <c r="C8" s="2"/>
      <c r="D8" s="2"/>
      <c r="E8" s="3" t="n">
        <f aca="false">C8-B8-D8</f>
        <v>0</v>
      </c>
      <c r="F8" s="4" t="n">
        <f aca="false">E8*24</f>
        <v>0</v>
      </c>
      <c r="G8" s="5" t="n">
        <f aca="false">F8*$J$2</f>
        <v>0</v>
      </c>
    </row>
    <row r="9" customFormat="false" ht="12.8" hidden="false" customHeight="false" outlineLevel="0" collapsed="false">
      <c r="A9" s="2" t="s">
        <v>89</v>
      </c>
      <c r="B9" s="2"/>
      <c r="C9" s="2"/>
      <c r="D9" s="2"/>
      <c r="E9" s="3" t="n">
        <f aca="false">C9-B9-D9</f>
        <v>0</v>
      </c>
      <c r="F9" s="4" t="n">
        <f aca="false">E9*24</f>
        <v>0</v>
      </c>
      <c r="G9" s="5" t="n">
        <f aca="false">F9*$J$2</f>
        <v>0</v>
      </c>
    </row>
    <row r="10" customFormat="false" ht="12.8" hidden="false" customHeight="false" outlineLevel="0" collapsed="false">
      <c r="A10" s="2" t="s">
        <v>90</v>
      </c>
      <c r="B10" s="2"/>
      <c r="C10" s="2"/>
      <c r="D10" s="2"/>
      <c r="E10" s="3" t="n">
        <f aca="false">C10-B10-D10</f>
        <v>0</v>
      </c>
      <c r="F10" s="4" t="n">
        <f aca="false">E10*24</f>
        <v>0</v>
      </c>
      <c r="G10" s="5" t="n">
        <f aca="false">F10*$J$2</f>
        <v>0</v>
      </c>
    </row>
    <row r="11" customFormat="false" ht="12.8" hidden="false" customHeight="false" outlineLevel="0" collapsed="false">
      <c r="A11" s="2" t="s">
        <v>91</v>
      </c>
      <c r="B11" s="2"/>
      <c r="C11" s="2"/>
      <c r="D11" s="2"/>
      <c r="E11" s="3" t="n">
        <f aca="false">C11-B11-D11</f>
        <v>0</v>
      </c>
      <c r="F11" s="4" t="n">
        <f aca="false">E11*24</f>
        <v>0</v>
      </c>
      <c r="G11" s="5" t="n">
        <f aca="false">F11*$J$2</f>
        <v>0</v>
      </c>
    </row>
    <row r="12" customFormat="false" ht="12.8" hidden="false" customHeight="false" outlineLevel="0" collapsed="false">
      <c r="A12" s="2" t="s">
        <v>92</v>
      </c>
      <c r="B12" s="2"/>
      <c r="C12" s="2"/>
      <c r="D12" s="2"/>
      <c r="E12" s="3" t="n">
        <f aca="false">C12-B12-D12</f>
        <v>0</v>
      </c>
      <c r="F12" s="4" t="n">
        <f aca="false">E12*24</f>
        <v>0</v>
      </c>
      <c r="G12" s="5" t="n">
        <f aca="false">F12*$J$2</f>
        <v>0</v>
      </c>
    </row>
    <row r="13" customFormat="false" ht="12.8" hidden="false" customHeight="false" outlineLevel="0" collapsed="false">
      <c r="A13" s="2" t="s">
        <v>93</v>
      </c>
      <c r="B13" s="2"/>
      <c r="C13" s="2"/>
      <c r="D13" s="2"/>
      <c r="E13" s="3" t="n">
        <f aca="false">C13-B13-D13</f>
        <v>0</v>
      </c>
      <c r="F13" s="4" t="n">
        <f aca="false">E13*24</f>
        <v>0</v>
      </c>
      <c r="G13" s="5" t="n">
        <f aca="false">F13*$J$2</f>
        <v>0</v>
      </c>
    </row>
    <row r="14" customFormat="false" ht="12.8" hidden="false" customHeight="false" outlineLevel="0" collapsed="false">
      <c r="A14" s="2" t="s">
        <v>94</v>
      </c>
      <c r="B14" s="2"/>
      <c r="C14" s="2"/>
      <c r="D14" s="2"/>
      <c r="E14" s="3" t="n">
        <f aca="false">C14-B14-D14</f>
        <v>0</v>
      </c>
      <c r="F14" s="4" t="n">
        <f aca="false">E14*24</f>
        <v>0</v>
      </c>
      <c r="G14" s="5" t="n">
        <f aca="false">F14*$J$2</f>
        <v>0</v>
      </c>
    </row>
    <row r="15" customFormat="false" ht="12.8" hidden="false" customHeight="false" outlineLevel="0" collapsed="false">
      <c r="A15" s="2" t="s">
        <v>95</v>
      </c>
      <c r="B15" s="2"/>
      <c r="C15" s="2"/>
      <c r="D15" s="2"/>
      <c r="E15" s="3" t="n">
        <f aca="false">C15-B15-D15</f>
        <v>0</v>
      </c>
      <c r="F15" s="4" t="n">
        <f aca="false">E15*24</f>
        <v>0</v>
      </c>
      <c r="G15" s="5" t="n">
        <f aca="false">F15*$J$2</f>
        <v>0</v>
      </c>
    </row>
    <row r="16" customFormat="false" ht="12.8" hidden="false" customHeight="false" outlineLevel="0" collapsed="false">
      <c r="A16" s="2" t="s">
        <v>96</v>
      </c>
      <c r="B16" s="2"/>
      <c r="C16" s="2"/>
      <c r="D16" s="2"/>
      <c r="E16" s="3" t="n">
        <f aca="false">C16-B16-D16</f>
        <v>0</v>
      </c>
      <c r="F16" s="4" t="n">
        <f aca="false">E16*24</f>
        <v>0</v>
      </c>
      <c r="G16" s="5" t="n">
        <f aca="false">F16*$J$2</f>
        <v>0</v>
      </c>
    </row>
    <row r="17" customFormat="false" ht="12.8" hidden="false" customHeight="false" outlineLevel="0" collapsed="false">
      <c r="A17" s="2" t="s">
        <v>97</v>
      </c>
      <c r="B17" s="2"/>
      <c r="C17" s="2"/>
      <c r="D17" s="2"/>
      <c r="E17" s="3" t="n">
        <f aca="false">C17-B17-D17</f>
        <v>0</v>
      </c>
      <c r="F17" s="4" t="n">
        <f aca="false">E17*24</f>
        <v>0</v>
      </c>
      <c r="G17" s="5" t="n">
        <f aca="false">F17*$J$2</f>
        <v>0</v>
      </c>
    </row>
    <row r="18" customFormat="false" ht="12.8" hidden="false" customHeight="false" outlineLevel="0" collapsed="false">
      <c r="A18" s="2" t="s">
        <v>98</v>
      </c>
      <c r="B18" s="2"/>
      <c r="C18" s="2"/>
      <c r="D18" s="2"/>
      <c r="E18" s="3" t="n">
        <f aca="false">C18-B18-D18</f>
        <v>0</v>
      </c>
      <c r="F18" s="4" t="n">
        <f aca="false">E18*24</f>
        <v>0</v>
      </c>
      <c r="G18" s="5" t="n">
        <f aca="false">F18*$J$2</f>
        <v>0</v>
      </c>
    </row>
    <row r="19" customFormat="false" ht="12.8" hidden="false" customHeight="false" outlineLevel="0" collapsed="false">
      <c r="A19" s="2" t="s">
        <v>99</v>
      </c>
      <c r="B19" s="2"/>
      <c r="C19" s="2"/>
      <c r="D19" s="2"/>
      <c r="E19" s="3" t="n">
        <f aca="false">C19-B19-D19</f>
        <v>0</v>
      </c>
      <c r="F19" s="4" t="n">
        <f aca="false">E19*24</f>
        <v>0</v>
      </c>
      <c r="G19" s="5" t="n">
        <f aca="false">F19*$J$2</f>
        <v>0</v>
      </c>
    </row>
    <row r="20" customFormat="false" ht="12.8" hidden="false" customHeight="false" outlineLevel="0" collapsed="false">
      <c r="A20" s="2" t="s">
        <v>100</v>
      </c>
      <c r="B20" s="2"/>
      <c r="C20" s="2"/>
      <c r="D20" s="2"/>
      <c r="E20" s="3" t="n">
        <f aca="false">C20-B20-D20</f>
        <v>0</v>
      </c>
      <c r="F20" s="4" t="n">
        <f aca="false">E20*24</f>
        <v>0</v>
      </c>
      <c r="G20" s="5" t="n">
        <f aca="false">F20*$J$2</f>
        <v>0</v>
      </c>
    </row>
    <row r="21" customFormat="false" ht="12.8" hidden="false" customHeight="false" outlineLevel="0" collapsed="false">
      <c r="A21" s="2" t="s">
        <v>101</v>
      </c>
      <c r="B21" s="2"/>
      <c r="C21" s="2"/>
      <c r="D21" s="2"/>
      <c r="E21" s="3" t="n">
        <f aca="false">C21-B21-D21</f>
        <v>0</v>
      </c>
      <c r="F21" s="4" t="n">
        <f aca="false">E21*24</f>
        <v>0</v>
      </c>
      <c r="G21" s="5" t="n">
        <f aca="false">F21*$J$2</f>
        <v>0</v>
      </c>
    </row>
    <row r="22" customFormat="false" ht="12.8" hidden="false" customHeight="false" outlineLevel="0" collapsed="false">
      <c r="A22" s="2" t="s">
        <v>102</v>
      </c>
      <c r="B22" s="2"/>
      <c r="C22" s="2"/>
      <c r="D22" s="2"/>
      <c r="E22" s="3" t="n">
        <f aca="false">C22-B22-D22</f>
        <v>0</v>
      </c>
      <c r="F22" s="4" t="n">
        <f aca="false">E22*24</f>
        <v>0</v>
      </c>
      <c r="G22" s="5" t="n">
        <f aca="false">F22*$J$2</f>
        <v>0</v>
      </c>
    </row>
    <row r="23" customFormat="false" ht="12.8" hidden="false" customHeight="false" outlineLevel="0" collapsed="false">
      <c r="A23" s="2" t="s">
        <v>103</v>
      </c>
      <c r="B23" s="2"/>
      <c r="C23" s="2"/>
      <c r="D23" s="2"/>
      <c r="E23" s="3" t="n">
        <f aca="false">C23-B23-D23</f>
        <v>0</v>
      </c>
      <c r="F23" s="4" t="n">
        <f aca="false">E23*24</f>
        <v>0</v>
      </c>
      <c r="G23" s="5" t="n">
        <f aca="false">F23*$J$2</f>
        <v>0</v>
      </c>
    </row>
    <row r="24" customFormat="false" ht="12.8" hidden="false" customHeight="false" outlineLevel="0" collapsed="false">
      <c r="A24" s="2" t="s">
        <v>104</v>
      </c>
      <c r="B24" s="2"/>
      <c r="C24" s="2"/>
      <c r="D24" s="2"/>
      <c r="E24" s="3" t="n">
        <f aca="false">C24-B24-D24</f>
        <v>0</v>
      </c>
      <c r="F24" s="4" t="n">
        <f aca="false">E24*24</f>
        <v>0</v>
      </c>
      <c r="G24" s="5" t="n">
        <f aca="false">F24*$J$2</f>
        <v>0</v>
      </c>
    </row>
    <row r="25" customFormat="false" ht="12.8" hidden="false" customHeight="false" outlineLevel="0" collapsed="false">
      <c r="A25" s="2" t="s">
        <v>105</v>
      </c>
      <c r="B25" s="2"/>
      <c r="C25" s="2"/>
      <c r="D25" s="2"/>
      <c r="E25" s="3" t="n">
        <f aca="false">C25-B25-D25</f>
        <v>0</v>
      </c>
      <c r="F25" s="4" t="n">
        <f aca="false">E25*24</f>
        <v>0</v>
      </c>
      <c r="G25" s="5" t="n">
        <f aca="false">F25*$J$2</f>
        <v>0</v>
      </c>
    </row>
    <row r="26" customFormat="false" ht="12.8" hidden="false" customHeight="false" outlineLevel="0" collapsed="false">
      <c r="A26" s="2" t="s">
        <v>106</v>
      </c>
      <c r="B26" s="2"/>
      <c r="C26" s="2"/>
      <c r="D26" s="2"/>
      <c r="E26" s="3" t="n">
        <f aca="false">C26-B26-D26</f>
        <v>0</v>
      </c>
      <c r="F26" s="4" t="n">
        <f aca="false">E26*24</f>
        <v>0</v>
      </c>
      <c r="G26" s="5" t="n">
        <f aca="false">F26*$J$2</f>
        <v>0</v>
      </c>
    </row>
    <row r="27" customFormat="false" ht="12.8" hidden="false" customHeight="false" outlineLevel="0" collapsed="false">
      <c r="A27" s="2" t="s">
        <v>107</v>
      </c>
      <c r="B27" s="2"/>
      <c r="C27" s="2"/>
      <c r="D27" s="2"/>
      <c r="E27" s="3" t="n">
        <f aca="false">C27-B27-D27</f>
        <v>0</v>
      </c>
      <c r="F27" s="4" t="n">
        <f aca="false">E27*24</f>
        <v>0</v>
      </c>
      <c r="G27" s="5" t="n">
        <f aca="false">F27*$J$2</f>
        <v>0</v>
      </c>
    </row>
    <row r="28" customFormat="false" ht="12.8" hidden="false" customHeight="false" outlineLevel="0" collapsed="false">
      <c r="A28" s="2" t="s">
        <v>108</v>
      </c>
      <c r="B28" s="2"/>
      <c r="C28" s="2"/>
      <c r="D28" s="2"/>
      <c r="E28" s="3" t="n">
        <f aca="false">C28-B28-D28</f>
        <v>0</v>
      </c>
      <c r="F28" s="4" t="n">
        <f aca="false">E28*24</f>
        <v>0</v>
      </c>
      <c r="G28" s="5" t="n">
        <f aca="false">F28*$J$2</f>
        <v>0</v>
      </c>
    </row>
    <row r="29" customFormat="false" ht="12.8" hidden="false" customHeight="false" outlineLevel="0" collapsed="false">
      <c r="A29" s="2" t="s">
        <v>109</v>
      </c>
      <c r="B29" s="2"/>
      <c r="C29" s="2"/>
      <c r="D29" s="2"/>
      <c r="E29" s="3" t="n">
        <f aca="false">C29-B29-D29</f>
        <v>0</v>
      </c>
      <c r="F29" s="4" t="n">
        <f aca="false">E29*24</f>
        <v>0</v>
      </c>
      <c r="G29" s="5" t="n">
        <f aca="false">F29*$J$2</f>
        <v>0</v>
      </c>
    </row>
    <row r="30" customFormat="false" ht="12.8" hidden="false" customHeight="false" outlineLevel="0" collapsed="false">
      <c r="A30" s="2" t="s">
        <v>110</v>
      </c>
      <c r="B30" s="2"/>
      <c r="C30" s="2"/>
      <c r="D30" s="2"/>
      <c r="E30" s="3" t="n">
        <f aca="false">C30-B30-D30</f>
        <v>0</v>
      </c>
      <c r="F30" s="4" t="n">
        <f aca="false">E30*24</f>
        <v>0</v>
      </c>
      <c r="G30" s="5" t="n">
        <f aca="false">F30*$J$2</f>
        <v>0</v>
      </c>
    </row>
    <row r="31" customFormat="false" ht="12.8" hidden="false" customHeight="false" outlineLevel="0" collapsed="false">
      <c r="A31" s="2" t="s">
        <v>111</v>
      </c>
      <c r="B31" s="2"/>
      <c r="C31" s="2"/>
      <c r="D31" s="2"/>
      <c r="E31" s="3" t="n">
        <f aca="false">C31-B31-D31</f>
        <v>0</v>
      </c>
      <c r="F31" s="4" t="n">
        <f aca="false">E31*24</f>
        <v>0</v>
      </c>
      <c r="G31" s="5" t="n">
        <f aca="false">F31*$J$2</f>
        <v>0</v>
      </c>
    </row>
    <row r="32" customFormat="false" ht="12.8" hidden="false" customHeight="false" outlineLevel="0" collapsed="false">
      <c r="A32" s="2" t="s">
        <v>112</v>
      </c>
      <c r="B32" s="2"/>
      <c r="C32" s="2"/>
      <c r="D32" s="2"/>
      <c r="E32" s="3" t="n">
        <f aca="false">C32-B32-D32</f>
        <v>0</v>
      </c>
      <c r="F32" s="4" t="n">
        <f aca="false">E32*24</f>
        <v>0</v>
      </c>
      <c r="G32" s="5" t="n">
        <f aca="false">F32*$J$2</f>
        <v>0</v>
      </c>
    </row>
    <row r="33" customFormat="false" ht="12.8" hidden="false" customHeight="false" outlineLevel="0" collapsed="false">
      <c r="A33" s="2"/>
      <c r="B33" s="2"/>
      <c r="C33" s="2"/>
      <c r="D33" s="2" t="s">
        <v>49</v>
      </c>
      <c r="E33" s="1"/>
      <c r="F33" s="4"/>
      <c r="G33" s="1"/>
    </row>
    <row r="34" customFormat="false" ht="12.8" hidden="false" customHeight="false" outlineLevel="0" collapsed="false">
      <c r="A34" s="2"/>
      <c r="B34" s="2"/>
      <c r="C34" s="2"/>
      <c r="D34" s="2"/>
      <c r="E34" s="8"/>
      <c r="F34" s="9" t="n">
        <f aca="false">SUM(F5:F33)</f>
        <v>0</v>
      </c>
      <c r="G34" s="9" t="n">
        <f aca="false">SUM(G5:G32)</f>
        <v>0</v>
      </c>
    </row>
  </sheetData>
  <conditionalFormatting sqref="A1:G1 A33:G34 A2:A32 B2:F2 B5:D32 E3:F32">
    <cfRule type="expression" priority="2" aboveAverage="0" equalAverage="0" bottom="0" percent="0" rank="0" text="" dxfId="0">
      <formula>WEEKDAY($A1,2)&gt;=7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2026-02-13T18:13:37Z</dcterms:created>
  <dc:creator/>
  <dc:description/>
  <dc:language>de-DE</dc:language>
  <cp:lastModifiedBy/>
  <dcterms:modified xsi:type="dcterms:W3CDTF">2026-03-01T16:44:39Z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