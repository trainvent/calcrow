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" sheetId="1" r:id="rId4"/>
    <sheet state="visible" name="Februar" sheetId="2" r:id="rId5"/>
    <sheet state="visible" name="Marz" sheetId="3" r:id="rId6"/>
  </sheets>
  <definedNames/>
  <calcPr/>
  <extLst>
    <ext uri="GoogleSheetsCustomDataVersion2">
      <go:sheetsCustomData xmlns:go="http://customooxmlschemas.google.com/" r:id="rId7" roundtripDataChecksum="22M4hSOIOTrfMxtWGjlf7xsEhDfc2bVQOaHCc8t2lRU="/>
    </ext>
  </extLst>
</workbook>
</file>

<file path=xl/sharedStrings.xml><?xml version="1.0" encoding="utf-8"?>
<sst xmlns="http://schemas.openxmlformats.org/spreadsheetml/2006/main" count="137" uniqueCount="86">
  <si>
    <t>Datum</t>
  </si>
  <si>
    <t>Beginn</t>
  </si>
  <si>
    <t>Ende</t>
  </si>
  <si>
    <t>Pause</t>
  </si>
  <si>
    <t>Stunden</t>
  </si>
  <si>
    <t>Stunden Decimal</t>
  </si>
  <si>
    <t>Verdienst</t>
  </si>
  <si>
    <t>2026-01-01</t>
  </si>
  <si>
    <t>08:20:00</t>
  </si>
  <si>
    <t>18:15:00</t>
  </si>
  <si>
    <t>03:00:00</t>
  </si>
  <si>
    <t>Stundenlohn:</t>
  </si>
  <si>
    <t>2026-01-02</t>
  </si>
  <si>
    <t>2026-01-03</t>
  </si>
  <si>
    <t>2026-01-04</t>
  </si>
  <si>
    <t>2026-01-05</t>
  </si>
  <si>
    <t>08:45:00</t>
  </si>
  <si>
    <t>19:15:00</t>
  </si>
  <si>
    <t>00:15:00</t>
  </si>
  <si>
    <t>2026-01-06</t>
  </si>
  <si>
    <t>17:00:00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</si>
  <si>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</si>
  <si>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</si>
  <si>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</si>
  <si>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</si>
  <si>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</si>
  <si>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</si>
  <si>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</si>
  <si>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</si>
  <si>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</si>
  <si>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</si>
  <si>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</si>
  <si>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</si>
  <si>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</si>
  <si>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</si>
  <si>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10:30:00</t>
  </si>
  <si>
    <t>16:30:00</t>
  </si>
  <si>
    <t>2026-01-21</t>
  </si>
  <si>
    <t>2026-01-22</t>
  </si>
  <si>
    <t>2026-01-23</t>
  </si>
  <si>
    <t>08:00:00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</si>
  <si>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</si>
  <si>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</si>
  <si>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</si>
  <si>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</si>
  <si>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</si>
  <si>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</si>
  <si>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</si>
  <si>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</si>
  <si>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Summe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</si>
  <si>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</si>
  <si>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</si>
  <si>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</si>
  <si>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</si>
  <si>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</si>
  <si>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</si>
  <si>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</si>
  <si>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</si>
  <si>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</si>
  <si>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</si>
  <si>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</si>
  <si>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</si>
  <si>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</si>
  <si>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</si>
  <si>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</si>
  <si>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</si>
  <si>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</si>
  <si>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</si>
  <si>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</si>
  <si>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</si>
  <si>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k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</si>
  <si>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</si>
  <si>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</si>
  <si>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</si>
  <si>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</si>
  <si>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</si>
  <si>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</si>
  <si>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</si>
  <si>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</si>
  <si>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2026-02-29</t>
  </si>
  <si>
    <t>2026-02-30</t>
  </si>
  <si>
    <t>2026-02-31</t>
  </si>
  <si>
    <t>Notiz</t>
  </si>
  <si>
    <t>00:10:00</t>
  </si>
  <si>
    <t>aa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</si>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</sst>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h:mm:ss\ AM/PM"/>
    <numFmt numFmtId="165" formatCode="0.0"/>
    <numFmt numFmtId="166" formatCode="D/M/YYYY"/>
    <numFmt numFmtId="167" formatCode="H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Times New Roman"/>
    </font>
    <font>
      <sz val="11.0"/>
      <color theme="1"/>
      <name val="Arial"/>
    </font>
    <font>
      <b/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6" numFmtId="0" xfId="0" applyFont="1"/>
    <xf borderId="0" fillId="0" fontId="6" numFmtId="166" xfId="0" applyFont="1" applyNumberFormat="1"/>
    <xf borderId="0" fillId="0" fontId="2" numFmtId="167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1"/>
    </xf>
    <xf borderId="0" fillId="0" fontId="6" numFmtId="20" xfId="0" applyFont="1" applyNumberFormat="1"/>
    <xf borderId="0" fillId="0" fontId="6" numFmtId="167" xfId="0" applyAlignment="1" applyFont="1" applyNumberForma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20" xfId="0" applyAlignment="1" applyFont="1" applyNumberFormat="1">
      <alignment horizontal="left" shrinkToFit="0" vertical="center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6" numFmtId="0" xfId="0" applyFont="1"/>
    <xf borderId="0" fillId="0" fontId="5" numFmtId="167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5">
    <dxf>
      <font>
        <name val="Arial"/>
      </font>
      <fill>
        <patternFill patternType="solid">
          <fgColor rgb="FFFFFF99"/>
          <bgColor rgb="FFFFFF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arz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5" displayName="Table_1" name="Table_1" id="1">
  <tableColumns count="8">
    <tableColumn name="Datum" id="1"/>
    <tableColumn name="Beginn" id="2"/>
    <tableColumn name="Ende" id="3"/>
    <tableColumn name="Pause" id="4"/>
    <tableColumn name="Stunden" id="5"/>
    <tableColumn name="Stunden Decimal" id="6"/>
    <tableColumn name="Verdienst" id="7"/>
    <tableColumn name="Notiz" id="8"/>
  </tableColumns>
  <tableStyleInfo name="Marz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1.5"/>
    <col customWidth="1" min="5" max="5" width="13.63"/>
    <col customWidth="1" min="6" max="6" width="11.5"/>
    <col customWidth="1" min="7" max="7" width="8.63"/>
    <col customWidth="1" min="9" max="9" width="8.75"/>
    <col customWidth="1" min="10" max="10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1" t="s">
        <v>7</v>
      </c>
      <c r="B2" s="1" t="s">
        <v>8</v>
      </c>
      <c r="C2" s="1" t="s">
        <v>9</v>
      </c>
      <c r="D2" s="1" t="s">
        <v>10</v>
      </c>
      <c r="E2" s="2">
        <f>C2-B2-D2</f>
        <v>0.2881944444</v>
      </c>
      <c r="F2" s="3">
        <f>E2*24</f>
        <v>6.916666667</v>
      </c>
      <c r="G2" s="4">
        <f>F2*$J$2</f>
        <v>100.2916667</v>
      </c>
      <c r="I2" s="1" t="s">
        <v>11</v>
      </c>
      <c r="J2" s="5">
        <v>14.5</v>
      </c>
    </row>
    <row r="3" ht="12.75" customHeight="1">
      <c r="A3" s="1" t="s">
        <v>12</v>
      </c>
      <c r="E3" s="2"/>
    </row>
    <row r="4" ht="12.75" customHeight="1">
      <c r="A4" s="1" t="s">
        <v>13</v>
      </c>
      <c r="E4" s="2"/>
    </row>
    <row r="5" ht="12.75" customHeight="1">
      <c r="A5" s="1" t="s">
        <v>14</v>
      </c>
      <c r="B5" s="1" t="s">
        <v>8</v>
      </c>
      <c r="C5" s="1" t="s">
        <v>9</v>
      </c>
      <c r="D5" s="1" t="s">
        <v>10</v>
      </c>
      <c r="E5" s="2"/>
      <c r="F5" s="3">
        <f>E5*24</f>
        <v>0</v>
      </c>
      <c r="G5" s="4">
        <f>F5*$J$2</f>
        <v>0</v>
      </c>
    </row>
    <row r="6" ht="12.75" customHeight="1">
      <c r="A6" s="1" t="s">
        <v>15</v>
      </c>
      <c r="B6" s="1" t="s">
        <v>16</v>
      </c>
      <c r="C6" s="1" t="s">
        <v>17</v>
      </c>
      <c r="D6" s="1" t="s">
        <v>18</v>
      </c>
      <c r="E6" s="2"/>
      <c r="F6" s="3"/>
      <c r="G6" s="4"/>
    </row>
    <row r="7" ht="12.75" customHeight="1">
      <c r="A7" s="1" t="s">
        <v>19</v>
      </c>
      <c r="B7" s="1" t="s">
        <v>16</v>
      </c>
      <c r="C7" s="1" t="s">
        <v>20</v>
      </c>
      <c r="D7" s="1" t="s">
        <v>18</v>
      </c>
      <c r="E7" s="2"/>
      <c r="F7" s="3"/>
      <c r="G7" s="4"/>
    </row>
    <row r="8" ht="12.75" customHeight="1">
      <c r="A8" s="1" t="s">
        <v>21</v>
      </c>
      <c r="E8" s="2"/>
      <c r="F8" s="3"/>
      <c r="G8" s="4"/>
    </row>
    <row r="9" ht="12.75" customHeight="1">
      <c r="A9" s="1" t="s">
        <v>22</v>
      </c>
      <c r="E9" s="2"/>
      <c r="F9" s="3"/>
      <c r="G9" s="4"/>
    </row>
    <row r="10" ht="12.75" customHeight="1">
      <c r="A10" s="1" t="s">
        <v>23</v>
      </c>
      <c r="E10" s="2"/>
      <c r="F10" s="3"/>
      <c r="G10" s="4"/>
    </row>
    <row r="11" ht="12.75" customHeight="1">
      <c r="A11" s="1" t="s">
        <v>24</v>
      </c>
      <c r="E11" s="2"/>
      <c r="F11" s="3"/>
      <c r="G11" s="4"/>
    </row>
    <row r="12" ht="12.75" customHeight="1">
      <c r="A12" s="1" t="s">
        <v>25</v>
      </c>
      <c r="B12" s="1"/>
      <c r="C12" s="1"/>
      <c r="D12" s="1"/>
      <c r="E12" s="2"/>
      <c r="F12" s="3"/>
      <c r="G12" s="4"/>
    </row>
    <row r="13" ht="12.75" customHeight="1">
      <c r="A13" s="1" t="s">
        <v>26</v>
      </c>
      <c r="B13" s="1" t="s">
        <v>16</v>
      </c>
      <c r="C13" s="1" t="s">
        <v>20</v>
      </c>
      <c r="D13" s="1" t="s">
        <v>18</v>
      </c>
      <c r="E13" s="2"/>
      <c r="F13" s="3"/>
      <c r="G13" s="4"/>
    </row>
    <row r="14" ht="12.75" customHeight="1">
      <c r="A14" s="1" t="s">
        <v>27</v>
      </c>
      <c r="E14" s="2"/>
      <c r="F14" s="3"/>
      <c r="G14" s="4"/>
    </row>
    <row r="15" ht="12.75" customHeight="1">
      <c r="A15" s="1" t="s">
        <v>28</v>
      </c>
      <c r="E15" s="2"/>
      <c r="F15" s="3"/>
      <c r="G15" s="4"/>
    </row>
    <row r="16" ht="12.75" customHeight="1">
      <c r="A16" s="1" t="s">
        <v>29</v>
      </c>
      <c r="E16" s="2"/>
      <c r="F16" s="3"/>
      <c r="G16" s="4"/>
    </row>
    <row r="17" ht="12.75" customHeight="1">
      <c r="A17" s="1" t="s">
        <v>30</v>
      </c>
      <c r="E17" s="2"/>
      <c r="F17" s="3"/>
      <c r="G17" s="4"/>
    </row>
    <row r="18" ht="12.75" customHeight="1">
      <c r="A18" s="1" t="s">
        <v>31</v>
      </c>
      <c r="E18" s="2"/>
      <c r="F18" s="3"/>
      <c r="G18" s="4"/>
    </row>
    <row r="19" ht="12.75" customHeight="1">
      <c r="A19" s="1" t="s">
        <v>32</v>
      </c>
      <c r="B19" s="1"/>
      <c r="C19" s="1"/>
      <c r="D19" s="1"/>
      <c r="E19" s="2"/>
      <c r="F19" s="3"/>
      <c r="G19" s="4"/>
    </row>
    <row r="20" ht="12.75" customHeight="1">
      <c r="A20" s="1" t="s">
        <v>33</v>
      </c>
      <c r="E20" s="2"/>
      <c r="F20" s="3"/>
      <c r="G20" s="4"/>
    </row>
    <row r="21" ht="12.75" customHeight="1">
      <c r="A21" s="1" t="s">
        <v>34</v>
      </c>
      <c r="B21" s="1" t="s">
        <v>35</v>
      </c>
      <c r="C21" s="1" t="s">
        <v>36</v>
      </c>
      <c r="D21" s="1" t="s">
        <v>18</v>
      </c>
      <c r="E21" s="2"/>
      <c r="F21" s="3"/>
      <c r="G21" s="4"/>
    </row>
    <row r="22" ht="12.75" customHeight="1">
      <c r="A22" s="1" t="s">
        <v>37</v>
      </c>
      <c r="E22" s="2"/>
      <c r="F22" s="3"/>
      <c r="G22" s="4"/>
    </row>
    <row r="23" ht="12.75" customHeight="1">
      <c r="A23" s="1" t="s">
        <v>38</v>
      </c>
      <c r="E23" s="2"/>
      <c r="F23" s="3"/>
      <c r="G23" s="4"/>
    </row>
    <row r="24" ht="12.75" customHeight="1">
      <c r="A24" s="1" t="s">
        <v>39</v>
      </c>
      <c r="B24" s="1" t="s">
        <v>40</v>
      </c>
      <c r="C24" s="1" t="s">
        <v>36</v>
      </c>
      <c r="D24" s="1" t="s">
        <v>18</v>
      </c>
      <c r="E24" s="2"/>
      <c r="F24" s="3"/>
      <c r="G24" s="4"/>
    </row>
    <row r="25" ht="12.75" customHeight="1">
      <c r="A25" s="1" t="s">
        <v>41</v>
      </c>
      <c r="E25" s="2"/>
      <c r="F25" s="3"/>
      <c r="G25" s="4"/>
    </row>
    <row r="26" ht="12.75" customHeight="1">
      <c r="A26" s="1" t="s">
        <v>42</v>
      </c>
      <c r="B26" s="1"/>
      <c r="C26" s="1"/>
      <c r="D26" s="1"/>
      <c r="E26" s="2"/>
      <c r="F26" s="3"/>
      <c r="G26" s="4"/>
    </row>
    <row r="27" ht="12.75" customHeight="1">
      <c r="A27" s="1" t="s">
        <v>43</v>
      </c>
      <c r="E27" s="2"/>
      <c r="F27" s="3"/>
      <c r="G27" s="4"/>
    </row>
    <row r="28" ht="12.75" customHeight="1">
      <c r="A28" s="1" t="s">
        <v>44</v>
      </c>
      <c r="E28" s="2"/>
      <c r="F28" s="3"/>
      <c r="G28" s="4"/>
    </row>
    <row r="29" ht="12.75" customHeight="1">
      <c r="A29" s="1" t="s">
        <v>45</v>
      </c>
      <c r="E29" s="2"/>
      <c r="F29" s="3"/>
      <c r="G29" s="4"/>
    </row>
    <row r="30" ht="12.75" customHeight="1">
      <c r="A30" s="1" t="s">
        <v>46</v>
      </c>
      <c r="E30" s="2"/>
      <c r="F30" s="3"/>
      <c r="G30" s="4"/>
    </row>
    <row r="31" ht="12.75" customHeight="1">
      <c r="A31" s="1" t="s">
        <v>47</v>
      </c>
      <c r="E31" s="2"/>
      <c r="F31" s="3"/>
      <c r="G31" s="4"/>
    </row>
    <row r="32" ht="12.75" customHeight="1">
      <c r="A32" s="1" t="s">
        <v>48</v>
      </c>
      <c r="E32" s="2"/>
      <c r="F32" s="3"/>
      <c r="G32" s="4"/>
    </row>
    <row r="33" ht="12.75" customHeight="1">
      <c r="D33" s="1" t="s">
        <v>49</v>
      </c>
      <c r="F33" s="3"/>
    </row>
    <row r="34" ht="12.75" customHeight="1">
      <c r="E34" s="6"/>
      <c r="F34" s="7">
        <f>SUM(F5:F33)</f>
        <v>0</v>
      </c>
      <c r="G34" s="7">
        <f>SUM(G5:G32)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G1 A2:A4 A5:D5 A6:F6 A7:D32 A33:G34 B2:F2 E3:E5 E7 E8:E32 E9:E32 E9 F5 F7:F32">
    <cfRule type="expression" dxfId="0" priority="1">
      <formula>WEEKDAY($A1,2)&gt;=7</formula>
    </cfRule>
  </conditionalFormatting>
  <conditionalFormatting sqref="E3:E5 E8:E32">
    <cfRule type="expression" dxfId="0" priority="2">
      <formula>WEEKDAY($A8,2)&gt;=7</formula>
    </cfRule>
  </conditionalFormatting>
  <printOptions/>
  <pageMargins bottom="1.05277777777778" footer="0.0" header="0.0" left="0.7875" right="0.7875" top="1.05277777777778"/>
  <pageSetup paperSize="9" orientation="portrait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5" max="5" width="16.25"/>
    <col customWidth="1" min="6" max="6" width="16.75"/>
    <col customWidth="1" min="7" max="7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1" t="s">
        <v>50</v>
      </c>
      <c r="B2" s="1" t="s">
        <v>8</v>
      </c>
      <c r="C2" s="1" t="s">
        <v>9</v>
      </c>
      <c r="D2" s="1" t="s">
        <v>10</v>
      </c>
      <c r="E2" s="2">
        <f>(C2-B2-D2)</f>
        <v>0.2881944444</v>
      </c>
      <c r="F2" s="3">
        <f>E2*24</f>
        <v>6.916666667</v>
      </c>
      <c r="G2" s="4">
        <f>F2*$J$2</f>
        <v>100.2916667</v>
      </c>
      <c r="I2" s="1" t="s">
        <v>11</v>
      </c>
      <c r="J2" s="5">
        <v>14.5</v>
      </c>
    </row>
    <row r="3" ht="12.75" customHeight="1">
      <c r="A3" s="1" t="s">
        <v>51</v>
      </c>
      <c r="E3" s="2">
        <f>C3-B3-D3</f>
        <v>0</v>
      </c>
      <c r="F3" s="3"/>
      <c r="G3" s="4"/>
    </row>
    <row r="4" ht="12.75" customHeight="1">
      <c r="A4" s="1" t="s">
        <v>52</v>
      </c>
      <c r="E4" s="2"/>
      <c r="F4" s="3"/>
      <c r="G4" s="4"/>
    </row>
    <row r="5" ht="12.75" customHeight="1">
      <c r="A5" s="1" t="s">
        <v>53</v>
      </c>
      <c r="B5" s="1" t="s">
        <v>8</v>
      </c>
      <c r="C5" s="1" t="s">
        <v>9</v>
      </c>
      <c r="D5" s="1" t="s">
        <v>10</v>
      </c>
      <c r="E5" s="2"/>
      <c r="F5" s="3"/>
      <c r="G5" s="4"/>
    </row>
    <row r="6" ht="12.75" customHeight="1">
      <c r="A6" s="1" t="s">
        <v>54</v>
      </c>
      <c r="B6" s="1" t="s">
        <v>16</v>
      </c>
      <c r="C6" s="1" t="s">
        <v>17</v>
      </c>
      <c r="D6" s="1" t="s">
        <v>18</v>
      </c>
      <c r="E6" s="2"/>
      <c r="F6" s="3"/>
      <c r="G6" s="4"/>
    </row>
    <row r="7" ht="12.75" customHeight="1">
      <c r="A7" s="1" t="s">
        <v>55</v>
      </c>
      <c r="B7" s="1" t="s">
        <v>16</v>
      </c>
      <c r="C7" s="1" t="s">
        <v>20</v>
      </c>
      <c r="D7" s="1" t="s">
        <v>18</v>
      </c>
      <c r="E7" s="2"/>
      <c r="F7" s="3"/>
      <c r="G7" s="4"/>
    </row>
    <row r="8" ht="12.75" customHeight="1">
      <c r="A8" s="1" t="s">
        <v>56</v>
      </c>
      <c r="E8" s="2"/>
      <c r="F8" s="3"/>
      <c r="G8" s="4"/>
    </row>
    <row r="9" ht="12.75" customHeight="1">
      <c r="A9" s="1" t="s">
        <v>57</v>
      </c>
      <c r="B9" s="1"/>
      <c r="C9" s="1"/>
      <c r="D9" s="1"/>
      <c r="E9" s="2"/>
      <c r="F9" s="3"/>
      <c r="G9" s="4"/>
    </row>
    <row r="10" ht="12.75" customHeight="1">
      <c r="A10" s="1" t="s">
        <v>58</v>
      </c>
      <c r="E10" s="2"/>
      <c r="F10" s="3"/>
      <c r="G10" s="4"/>
    </row>
    <row r="11" ht="12.75" customHeight="1">
      <c r="A11" s="1" t="s">
        <v>59</v>
      </c>
      <c r="E11" s="2"/>
      <c r="F11" s="3"/>
      <c r="G11" s="4"/>
    </row>
    <row r="12" ht="12.75" customHeight="1">
      <c r="A12" s="1" t="s">
        <v>60</v>
      </c>
      <c r="E12" s="2"/>
      <c r="F12" s="3"/>
      <c r="G12" s="4"/>
    </row>
    <row r="13" ht="12.75" customHeight="1">
      <c r="A13" s="1" t="s">
        <v>61</v>
      </c>
      <c r="B13" s="1" t="s">
        <v>16</v>
      </c>
      <c r="C13" s="1" t="s">
        <v>20</v>
      </c>
      <c r="D13" s="1" t="s">
        <v>18</v>
      </c>
      <c r="E13" s="2"/>
      <c r="F13" s="3"/>
      <c r="G13" s="4"/>
    </row>
    <row r="14" ht="12.75" customHeight="1">
      <c r="A14" s="1" t="s">
        <v>62</v>
      </c>
      <c r="E14" s="2"/>
      <c r="F14" s="3"/>
      <c r="G14" s="4"/>
    </row>
    <row r="15" ht="12.75" customHeight="1">
      <c r="A15" s="1" t="s">
        <v>63</v>
      </c>
      <c r="E15" s="2"/>
      <c r="F15" s="3"/>
      <c r="G15" s="4"/>
    </row>
    <row r="16" ht="12.75" customHeight="1">
      <c r="A16" s="1" t="s">
        <v>64</v>
      </c>
      <c r="B16" s="1"/>
      <c r="C16" s="1"/>
      <c r="D16" s="1"/>
      <c r="E16" s="2"/>
      <c r="F16" s="3"/>
      <c r="G16" s="4"/>
    </row>
    <row r="17" ht="12.75" customHeight="1">
      <c r="A17" s="1" t="s">
        <v>65</v>
      </c>
      <c r="E17" s="2"/>
      <c r="F17" s="3"/>
      <c r="G17" s="4"/>
    </row>
    <row r="18" ht="12.75" customHeight="1">
      <c r="A18" s="1" t="s">
        <v>66</v>
      </c>
      <c r="E18" s="2"/>
      <c r="F18" s="3"/>
      <c r="G18" s="4"/>
    </row>
    <row r="19" ht="12.75" customHeight="1">
      <c r="A19" s="1" t="s">
        <v>67</v>
      </c>
      <c r="E19" s="2"/>
      <c r="F19" s="3"/>
      <c r="G19" s="4"/>
    </row>
    <row r="20" ht="12.75" customHeight="1">
      <c r="A20" s="1" t="s">
        <v>68</v>
      </c>
      <c r="E20" s="2"/>
      <c r="F20" s="3"/>
      <c r="G20" s="4"/>
    </row>
    <row r="21" ht="12.75" customHeight="1">
      <c r="A21" s="1" t="s">
        <v>69</v>
      </c>
      <c r="B21" s="1" t="s">
        <v>35</v>
      </c>
      <c r="C21" s="1" t="s">
        <v>36</v>
      </c>
      <c r="D21" s="1" t="s">
        <v>18</v>
      </c>
      <c r="E21" s="2"/>
      <c r="F21" s="3"/>
      <c r="G21" s="4"/>
      <c r="K21" s="1" t="s">
        <v>70</v>
      </c>
    </row>
    <row r="22" ht="12.75" customHeight="1">
      <c r="A22" s="1" t="s">
        <v>71</v>
      </c>
      <c r="E22" s="2"/>
      <c r="F22" s="3"/>
      <c r="G22" s="4"/>
    </row>
    <row r="23" ht="12.75" customHeight="1">
      <c r="A23" s="1" t="s">
        <v>72</v>
      </c>
      <c r="B23" s="1"/>
      <c r="C23" s="1"/>
      <c r="D23" s="1"/>
      <c r="E23" s="2"/>
      <c r="F23" s="3"/>
      <c r="G23" s="4"/>
    </row>
    <row r="24" ht="12.75" customHeight="1">
      <c r="A24" s="1" t="s">
        <v>73</v>
      </c>
      <c r="B24" s="1" t="s">
        <v>40</v>
      </c>
      <c r="C24" s="1" t="s">
        <v>36</v>
      </c>
      <c r="D24" s="1" t="s">
        <v>18</v>
      </c>
      <c r="E24" s="2"/>
      <c r="F24" s="3"/>
      <c r="G24" s="4"/>
    </row>
    <row r="25" ht="12.75" customHeight="1">
      <c r="A25" s="1" t="s">
        <v>74</v>
      </c>
      <c r="E25" s="2"/>
      <c r="F25" s="3"/>
      <c r="G25" s="4"/>
    </row>
    <row r="26" ht="12.75" customHeight="1">
      <c r="A26" s="1" t="s">
        <v>75</v>
      </c>
      <c r="E26" s="2"/>
      <c r="F26" s="3"/>
      <c r="G26" s="4"/>
    </row>
    <row r="27" ht="12.75" customHeight="1">
      <c r="A27" s="1" t="s">
        <v>76</v>
      </c>
      <c r="E27" s="2"/>
      <c r="F27" s="3"/>
      <c r="G27" s="4"/>
    </row>
    <row r="28" ht="12.75" customHeight="1">
      <c r="A28" s="1" t="s">
        <v>77</v>
      </c>
      <c r="E28" s="2"/>
      <c r="F28" s="3"/>
      <c r="G28" s="4"/>
    </row>
    <row r="29" ht="12.75" customHeight="1">
      <c r="A29" s="1" t="s">
        <v>78</v>
      </c>
      <c r="E29" s="2"/>
      <c r="F29" s="3"/>
      <c r="G29" s="4"/>
    </row>
    <row r="30" ht="12.75" customHeight="1">
      <c r="A30" s="1" t="s">
        <v>79</v>
      </c>
      <c r="E30" s="2"/>
      <c r="F30" s="3"/>
      <c r="G30" s="4"/>
    </row>
    <row r="31" ht="12.75" customHeight="1">
      <c r="A31" s="1" t="s">
        <v>80</v>
      </c>
      <c r="E31" s="2"/>
      <c r="F31" s="3"/>
      <c r="G31" s="4"/>
    </row>
    <row r="32" ht="12.75" customHeight="1">
      <c r="A32" s="1" t="s">
        <v>81</v>
      </c>
      <c r="E32" s="2"/>
      <c r="F32" s="3"/>
      <c r="G32" s="4"/>
    </row>
    <row r="33" ht="12.75" customHeight="1">
      <c r="D33" s="1" t="s">
        <v>49</v>
      </c>
      <c r="F33" s="3"/>
    </row>
    <row r="34" ht="12.75" customHeight="1">
      <c r="E34" s="6"/>
      <c r="F34" s="7">
        <f>SUM(F5:F33)</f>
        <v>0</v>
      </c>
      <c r="G34" s="7">
        <f>SUM(G5:G32)</f>
        <v>0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A1:G1 A2:A32 A33:G34 B2:F2 B5:D32 E3:F32">
    <cfRule type="expression" dxfId="0" priority="1">
      <formula>WEEKDAY($A1,2)&gt;=7</formula>
    </cfRule>
  </conditionalFormatting>
  <printOptions/>
  <pageMargins bottom="1.05277777777778" footer="0.0" header="0.0" left="0.7875" right="0.7875" top="1.05277777777778"/>
  <pageSetup paperSize="9" orientation="portrait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4.0"/>
    <col customWidth="1" min="4" max="4" width="13.5"/>
    <col customWidth="1" min="5" max="5" width="20.75"/>
    <col customWidth="1" min="6" max="6" width="21.38"/>
    <col customWidth="1" min="7" max="7" width="15.75"/>
    <col customWidth="1" min="8" max="8" width="11.5"/>
  </cols>
  <sheetData>
    <row r="1" ht="12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82</v>
      </c>
    </row>
    <row r="2" ht="12.75" customHeight="1">
      <c r="A2" s="9">
        <v>46082.0</v>
      </c>
      <c r="B2" s="8"/>
      <c r="C2" s="8"/>
      <c r="D2" s="8"/>
      <c r="E2" s="10">
        <f>(C2-B2-D2)</f>
        <v>0</v>
      </c>
      <c r="F2" s="11">
        <f t="shared" ref="F2:F32" si="1">E2*24</f>
        <v>0</v>
      </c>
      <c r="G2" s="12">
        <f t="shared" ref="G2:G32" si="2">F2*$K$2</f>
        <v>0</v>
      </c>
      <c r="H2" s="8"/>
      <c r="J2" s="1" t="s">
        <v>11</v>
      </c>
      <c r="K2" s="5">
        <v>14.5</v>
      </c>
    </row>
    <row r="3" ht="12.75" customHeight="1">
      <c r="A3" s="9">
        <v>46083.0</v>
      </c>
      <c r="B3" s="13">
        <v>0.16666666666666666</v>
      </c>
      <c r="C3" s="13">
        <v>0.20833333333333334</v>
      </c>
      <c r="D3" s="8" t="s">
        <v>83</v>
      </c>
      <c r="E3" s="10">
        <f>C3-B3-D3</f>
        <v>0.03472222222</v>
      </c>
      <c r="F3" s="14">
        <f t="shared" si="1"/>
        <v>0.8333333333</v>
      </c>
      <c r="G3" s="14">
        <f t="shared" si="2"/>
        <v>12.08333333</v>
      </c>
      <c r="H3" s="8"/>
    </row>
    <row r="4" ht="12.75" customHeight="1">
      <c r="A4" s="9">
        <v>46084.0</v>
      </c>
      <c r="B4" s="8"/>
      <c r="C4" s="8"/>
      <c r="D4" s="8"/>
      <c r="E4" s="15">
        <f t="shared" ref="E4:E32" si="3">(C4-B4-D4)</f>
        <v>0</v>
      </c>
      <c r="F4" s="15">
        <f t="shared" si="1"/>
        <v>0</v>
      </c>
      <c r="G4" s="15">
        <f t="shared" si="2"/>
        <v>0</v>
      </c>
      <c r="H4" s="8"/>
    </row>
    <row r="5" ht="12.75" customHeight="1">
      <c r="A5" s="9">
        <v>46085.0</v>
      </c>
      <c r="B5" s="8"/>
      <c r="C5" s="8"/>
      <c r="D5" s="8"/>
      <c r="E5" s="15">
        <f t="shared" si="3"/>
        <v>0</v>
      </c>
      <c r="F5" s="15">
        <f t="shared" si="1"/>
        <v>0</v>
      </c>
      <c r="G5" s="15">
        <f t="shared" si="2"/>
        <v>0</v>
      </c>
      <c r="H5" s="8"/>
    </row>
    <row r="6" ht="12.75" customHeight="1">
      <c r="A6" s="9">
        <v>46086.0</v>
      </c>
      <c r="B6" s="8"/>
      <c r="C6" s="8"/>
      <c r="D6" s="8"/>
      <c r="E6" s="15">
        <f t="shared" si="3"/>
        <v>0</v>
      </c>
      <c r="F6" s="15">
        <f t="shared" si="1"/>
        <v>0</v>
      </c>
      <c r="G6" s="15">
        <f t="shared" si="2"/>
        <v>0</v>
      </c>
      <c r="H6" s="8"/>
    </row>
    <row r="7" ht="12.75" customHeight="1">
      <c r="A7" s="9">
        <v>46087.0</v>
      </c>
      <c r="B7" s="8"/>
      <c r="C7" s="8"/>
      <c r="D7" s="8"/>
      <c r="E7" s="15">
        <f t="shared" si="3"/>
        <v>0</v>
      </c>
      <c r="F7" s="15">
        <f t="shared" si="1"/>
        <v>0</v>
      </c>
      <c r="G7" s="15">
        <f t="shared" si="2"/>
        <v>0</v>
      </c>
      <c r="H7" s="8"/>
    </row>
    <row r="8" ht="12.75" customHeight="1">
      <c r="A8" s="9">
        <v>46088.0</v>
      </c>
      <c r="B8" s="8"/>
      <c r="C8" s="8"/>
      <c r="D8" s="8"/>
      <c r="E8" s="15">
        <f t="shared" si="3"/>
        <v>0</v>
      </c>
      <c r="F8" s="15">
        <f t="shared" si="1"/>
        <v>0</v>
      </c>
      <c r="G8" s="15">
        <f t="shared" si="2"/>
        <v>0</v>
      </c>
      <c r="H8" s="8"/>
    </row>
    <row r="9" ht="12.75" customHeight="1">
      <c r="A9" s="9">
        <v>46089.0</v>
      </c>
      <c r="B9" s="8"/>
      <c r="C9" s="8"/>
      <c r="D9" s="8"/>
      <c r="E9" s="15">
        <f t="shared" si="3"/>
        <v>0</v>
      </c>
      <c r="F9" s="15">
        <f t="shared" si="1"/>
        <v>0</v>
      </c>
      <c r="G9" s="15">
        <f t="shared" si="2"/>
        <v>0</v>
      </c>
      <c r="H9" s="8"/>
    </row>
    <row r="10" ht="12.75" customHeight="1">
      <c r="A10" s="9">
        <v>46090.0</v>
      </c>
      <c r="B10" s="8"/>
      <c r="C10" s="8"/>
      <c r="D10" s="8"/>
      <c r="E10" s="15">
        <f t="shared" si="3"/>
        <v>0</v>
      </c>
      <c r="F10" s="15">
        <f t="shared" si="1"/>
        <v>0</v>
      </c>
      <c r="G10" s="15">
        <f t="shared" si="2"/>
        <v>0</v>
      </c>
      <c r="H10" s="8"/>
    </row>
    <row r="11" ht="12.75" customHeight="1">
      <c r="A11" s="9">
        <v>46091.0</v>
      </c>
      <c r="B11" s="13">
        <v>0.2513888888888889</v>
      </c>
      <c r="C11" s="13">
        <v>0.7513888888888889</v>
      </c>
      <c r="D11" s="8" t="s">
        <v>83</v>
      </c>
      <c r="E11" s="16">
        <f t="shared" si="3"/>
        <v>0.4930555556</v>
      </c>
      <c r="F11" s="16">
        <f t="shared" si="1"/>
        <v>11.83333333</v>
      </c>
      <c r="G11" s="16">
        <f t="shared" si="2"/>
        <v>171.5833333</v>
      </c>
      <c r="H11" s="8" t="s">
        <v>84</v>
      </c>
    </row>
    <row r="12" ht="12.75" customHeight="1">
      <c r="A12" s="9">
        <v>46092.0</v>
      </c>
      <c r="B12" s="8"/>
      <c r="C12" s="8"/>
      <c r="D12" s="8"/>
      <c r="E12" s="15">
        <f t="shared" si="3"/>
        <v>0</v>
      </c>
      <c r="F12" s="15">
        <f t="shared" si="1"/>
        <v>0</v>
      </c>
      <c r="G12" s="15">
        <f t="shared" si="2"/>
        <v>0</v>
      </c>
      <c r="H12" s="8"/>
    </row>
    <row r="13" ht="12.75" customHeight="1">
      <c r="A13" s="9">
        <v>46093.0</v>
      </c>
      <c r="B13" s="8"/>
      <c r="C13" s="8"/>
      <c r="D13" s="8"/>
      <c r="E13" s="15">
        <f t="shared" si="3"/>
        <v>0</v>
      </c>
      <c r="F13" s="15">
        <f t="shared" si="1"/>
        <v>0</v>
      </c>
      <c r="G13" s="15">
        <f t="shared" si="2"/>
        <v>0</v>
      </c>
      <c r="H13" s="8"/>
      <c r="K13" s="17" t="s">
        <v>85</v>
      </c>
    </row>
    <row r="14" ht="12.75" customHeight="1">
      <c r="A14" s="9">
        <v>46094.0</v>
      </c>
      <c r="B14" s="8"/>
      <c r="C14" s="8"/>
      <c r="D14" s="8"/>
      <c r="E14" s="15">
        <f t="shared" si="3"/>
        <v>0</v>
      </c>
      <c r="F14" s="15">
        <f t="shared" si="1"/>
        <v>0</v>
      </c>
      <c r="G14" s="15">
        <f t="shared" si="2"/>
        <v>0</v>
      </c>
      <c r="H14" s="8"/>
    </row>
    <row r="15" ht="12.75" customHeight="1">
      <c r="A15" s="9">
        <v>46095.0</v>
      </c>
      <c r="B15" s="8"/>
      <c r="C15" s="8"/>
      <c r="D15" s="8"/>
      <c r="E15" s="15">
        <f t="shared" si="3"/>
        <v>0</v>
      </c>
      <c r="F15" s="15">
        <f t="shared" si="1"/>
        <v>0</v>
      </c>
      <c r="G15" s="15">
        <f t="shared" si="2"/>
        <v>0</v>
      </c>
      <c r="H15" s="8"/>
    </row>
    <row r="16" ht="12.75" customHeight="1">
      <c r="A16" s="9">
        <v>46096.0</v>
      </c>
      <c r="B16" s="8"/>
      <c r="C16" s="8"/>
      <c r="D16" s="8"/>
      <c r="E16" s="15">
        <f t="shared" si="3"/>
        <v>0</v>
      </c>
      <c r="F16" s="15">
        <f t="shared" si="1"/>
        <v>0</v>
      </c>
      <c r="G16" s="15">
        <f t="shared" si="2"/>
        <v>0</v>
      </c>
      <c r="H16" s="8"/>
    </row>
    <row r="17" ht="12.75" customHeight="1">
      <c r="A17" s="9">
        <v>46097.0</v>
      </c>
      <c r="B17" s="8"/>
      <c r="C17" s="8"/>
      <c r="D17" s="8"/>
      <c r="E17" s="15">
        <f t="shared" si="3"/>
        <v>0</v>
      </c>
      <c r="F17" s="15">
        <f t="shared" si="1"/>
        <v>0</v>
      </c>
      <c r="G17" s="15">
        <f t="shared" si="2"/>
        <v>0</v>
      </c>
      <c r="H17" s="8"/>
    </row>
    <row r="18" ht="12.75" customHeight="1">
      <c r="A18" s="9">
        <v>46098.0</v>
      </c>
      <c r="B18" s="8"/>
      <c r="C18" s="8"/>
      <c r="D18" s="8"/>
      <c r="E18" s="15">
        <f t="shared" si="3"/>
        <v>0</v>
      </c>
      <c r="F18" s="15">
        <f t="shared" si="1"/>
        <v>0</v>
      </c>
      <c r="G18" s="15">
        <f t="shared" si="2"/>
        <v>0</v>
      </c>
      <c r="H18" s="8"/>
    </row>
    <row r="19" ht="12.75" customHeight="1">
      <c r="A19" s="9">
        <v>46099.0</v>
      </c>
      <c r="B19" s="8"/>
      <c r="C19" s="8"/>
      <c r="D19" s="8"/>
      <c r="E19" s="15">
        <f t="shared" si="3"/>
        <v>0</v>
      </c>
      <c r="F19" s="15">
        <f t="shared" si="1"/>
        <v>0</v>
      </c>
      <c r="G19" s="15">
        <f t="shared" si="2"/>
        <v>0</v>
      </c>
      <c r="H19" s="8"/>
    </row>
    <row r="20" ht="12.75" customHeight="1">
      <c r="A20" s="9">
        <v>46100.0</v>
      </c>
      <c r="B20" s="8"/>
      <c r="C20" s="8"/>
      <c r="D20" s="8"/>
      <c r="E20" s="15">
        <f t="shared" si="3"/>
        <v>0</v>
      </c>
      <c r="F20" s="15">
        <f t="shared" si="1"/>
        <v>0</v>
      </c>
      <c r="G20" s="15">
        <f t="shared" si="2"/>
        <v>0</v>
      </c>
      <c r="H20" s="8"/>
      <c r="L20" s="18"/>
      <c r="M20" s="18"/>
      <c r="N20" s="18"/>
      <c r="O20" s="18"/>
      <c r="P20" s="18"/>
    </row>
    <row r="21" ht="12.75" customHeight="1">
      <c r="A21" s="9">
        <v>46101.0</v>
      </c>
      <c r="B21" s="8"/>
      <c r="C21" s="8"/>
      <c r="D21" s="8"/>
      <c r="E21" s="15">
        <f t="shared" si="3"/>
        <v>0</v>
      </c>
      <c r="F21" s="15">
        <f t="shared" si="1"/>
        <v>0</v>
      </c>
      <c r="G21" s="15">
        <f t="shared" si="2"/>
        <v>0</v>
      </c>
      <c r="H21" s="8"/>
    </row>
    <row r="22" ht="12.75" customHeight="1">
      <c r="A22" s="9">
        <v>46102.0</v>
      </c>
      <c r="B22" s="8"/>
      <c r="C22" s="8"/>
      <c r="D22" s="8"/>
      <c r="E22" s="15">
        <f t="shared" si="3"/>
        <v>0</v>
      </c>
      <c r="F22" s="15">
        <f t="shared" si="1"/>
        <v>0</v>
      </c>
      <c r="G22" s="15">
        <f t="shared" si="2"/>
        <v>0</v>
      </c>
      <c r="H22" s="8"/>
    </row>
    <row r="23" ht="12.75" customHeight="1">
      <c r="A23" s="9">
        <v>46103.0</v>
      </c>
      <c r="B23" s="8"/>
      <c r="C23" s="8"/>
      <c r="D23" s="8"/>
      <c r="E23" s="15">
        <f t="shared" si="3"/>
        <v>0</v>
      </c>
      <c r="F23" s="15">
        <f t="shared" si="1"/>
        <v>0</v>
      </c>
      <c r="G23" s="15">
        <f t="shared" si="2"/>
        <v>0</v>
      </c>
      <c r="H23" s="8"/>
    </row>
    <row r="24" ht="12.75" customHeight="1">
      <c r="A24" s="9">
        <v>46104.0</v>
      </c>
      <c r="B24" s="8"/>
      <c r="C24" s="8"/>
      <c r="D24" s="8"/>
      <c r="E24" s="15">
        <f t="shared" si="3"/>
        <v>0</v>
      </c>
      <c r="F24" s="15">
        <f t="shared" si="1"/>
        <v>0</v>
      </c>
      <c r="G24" s="15">
        <f t="shared" si="2"/>
        <v>0</v>
      </c>
      <c r="H24" s="8"/>
    </row>
    <row r="25" ht="12.75" customHeight="1">
      <c r="A25" s="9">
        <v>46105.0</v>
      </c>
      <c r="B25" s="8"/>
      <c r="C25" s="8"/>
      <c r="D25" s="8"/>
      <c r="E25" s="15">
        <f t="shared" si="3"/>
        <v>0</v>
      </c>
      <c r="F25" s="15">
        <f t="shared" si="1"/>
        <v>0</v>
      </c>
      <c r="G25" s="15">
        <f t="shared" si="2"/>
        <v>0</v>
      </c>
      <c r="H25" s="8"/>
    </row>
    <row r="26" ht="12.75" customHeight="1">
      <c r="A26" s="9">
        <v>46106.0</v>
      </c>
      <c r="B26" s="8"/>
      <c r="C26" s="8"/>
      <c r="D26" s="8"/>
      <c r="E26" s="15">
        <f t="shared" si="3"/>
        <v>0</v>
      </c>
      <c r="F26" s="15">
        <f t="shared" si="1"/>
        <v>0</v>
      </c>
      <c r="G26" s="15">
        <f t="shared" si="2"/>
        <v>0</v>
      </c>
      <c r="H26" s="8"/>
    </row>
    <row r="27" ht="12.75" customHeight="1">
      <c r="A27" s="9">
        <v>46107.0</v>
      </c>
      <c r="B27" s="8"/>
      <c r="C27" s="8"/>
      <c r="D27" s="8"/>
      <c r="E27" s="15">
        <f t="shared" si="3"/>
        <v>0</v>
      </c>
      <c r="F27" s="15">
        <f t="shared" si="1"/>
        <v>0</v>
      </c>
      <c r="G27" s="15">
        <f t="shared" si="2"/>
        <v>0</v>
      </c>
      <c r="H27" s="8"/>
    </row>
    <row r="28" ht="12.75" customHeight="1">
      <c r="A28" s="9">
        <v>46108.0</v>
      </c>
      <c r="B28" s="8"/>
      <c r="C28" s="8"/>
      <c r="D28" s="8"/>
      <c r="E28" s="15">
        <f t="shared" si="3"/>
        <v>0</v>
      </c>
      <c r="F28" s="15">
        <f t="shared" si="1"/>
        <v>0</v>
      </c>
      <c r="G28" s="15">
        <f t="shared" si="2"/>
        <v>0</v>
      </c>
      <c r="H28" s="8"/>
    </row>
    <row r="29" ht="12.75" customHeight="1">
      <c r="A29" s="9">
        <v>46109.0</v>
      </c>
      <c r="B29" s="8"/>
      <c r="C29" s="8"/>
      <c r="D29" s="8"/>
      <c r="E29" s="15">
        <f t="shared" si="3"/>
        <v>0</v>
      </c>
      <c r="F29" s="15">
        <f t="shared" si="1"/>
        <v>0</v>
      </c>
      <c r="G29" s="15">
        <f t="shared" si="2"/>
        <v>0</v>
      </c>
      <c r="H29" s="8"/>
    </row>
    <row r="30" ht="12.75" customHeight="1">
      <c r="A30" s="9">
        <v>46110.0</v>
      </c>
      <c r="B30" s="8"/>
      <c r="C30" s="8"/>
      <c r="D30" s="8"/>
      <c r="E30" s="15">
        <f t="shared" si="3"/>
        <v>0</v>
      </c>
      <c r="F30" s="15">
        <f t="shared" si="1"/>
        <v>0</v>
      </c>
      <c r="G30" s="15">
        <f t="shared" si="2"/>
        <v>0</v>
      </c>
      <c r="H30" s="8"/>
    </row>
    <row r="31" ht="12.75" customHeight="1">
      <c r="A31" s="9">
        <v>46111.0</v>
      </c>
      <c r="B31" s="8"/>
      <c r="C31" s="8"/>
      <c r="D31" s="8"/>
      <c r="E31" s="15">
        <f t="shared" si="3"/>
        <v>0</v>
      </c>
      <c r="F31" s="15">
        <f t="shared" si="1"/>
        <v>0</v>
      </c>
      <c r="G31" s="15">
        <f t="shared" si="2"/>
        <v>0</v>
      </c>
      <c r="H31" s="8"/>
    </row>
    <row r="32" ht="12.75" customHeight="1">
      <c r="A32" s="9">
        <v>46112.0</v>
      </c>
      <c r="B32" s="8"/>
      <c r="C32" s="8"/>
      <c r="D32" s="8"/>
      <c r="E32" s="15">
        <f t="shared" si="3"/>
        <v>0</v>
      </c>
      <c r="F32" s="15">
        <f t="shared" si="1"/>
        <v>0</v>
      </c>
      <c r="G32" s="15">
        <f t="shared" si="2"/>
        <v>0</v>
      </c>
      <c r="H32" s="8"/>
    </row>
    <row r="33" ht="12.75" customHeight="1">
      <c r="A33" s="8"/>
      <c r="B33" s="8"/>
      <c r="C33" s="8"/>
      <c r="D33" s="8"/>
      <c r="E33" s="15"/>
      <c r="F33" s="15"/>
      <c r="G33" s="15"/>
      <c r="H33" s="8"/>
    </row>
    <row r="34" ht="12.75" customHeight="1">
      <c r="A34" s="8"/>
      <c r="B34" s="8"/>
      <c r="C34" s="8"/>
      <c r="D34" s="8" t="s">
        <v>49</v>
      </c>
      <c r="E34" s="14">
        <f>SUM(E2:E32)</f>
        <v>0.5277777778</v>
      </c>
      <c r="F34" s="14">
        <f>E34*24</f>
        <v>12.66666667</v>
      </c>
      <c r="G34" s="14">
        <f>F34*$K$2</f>
        <v>183.6666667</v>
      </c>
      <c r="H34" s="8"/>
    </row>
    <row r="35" ht="12.75" customHeight="1">
      <c r="A35" s="19"/>
      <c r="B35" s="19"/>
      <c r="C35" s="19"/>
      <c r="D35" s="8"/>
      <c r="E35" s="20"/>
      <c r="F35" s="21">
        <f>SUM(F6:F34)</f>
        <v>24.5</v>
      </c>
      <c r="G35" s="21">
        <f>SUM(G6:G33)</f>
        <v>171.5833333</v>
      </c>
      <c r="H35" s="19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A1:A34 B1:D2 E1:F35 G1 B5:C34 D5:D35 G33:G35">
    <cfRule type="expression" dxfId="0" priority="1">
      <formula>WEEKDAY($A1,2)&gt;=7</formula>
    </cfRule>
  </conditionalFormatting>
  <dataValidations>
    <dataValidation type="custom" allowBlank="1" showDropDown="1" sqref="F2:G33 G34 F35:G35">
      <formula1>AND(ISNUMBER(F2),(NOT(OR(NOT(ISERROR(DATEVALUE(F2))), AND(ISNUMBER(F2), LEFT(CELL("format", F2))="D")))))</formula1>
    </dataValidation>
    <dataValidation type="custom" allowBlank="1" showDropDown="1" sqref="B2:E34 D35:E35">
      <formula1>OR(TIMEVALUE(TEXT(B2, "hh:mm:ss"))=B2, AND(ISNUMBER(B2), LEFT(CELL("format", B2))="D"))</formula1>
    </dataValidation>
    <dataValidation type="custom" allowBlank="1" showDropDown="1" sqref="F34">
      <formula1>AND(ISNUMBER(#REF!),(NOT(OR(NOT(ISERROR(DATEVALUE(#REF!))), AND(ISNUMBER(#REF!), LEFT(CELL("format", #REF!))="D")))))</formula1>
    </dataValidation>
  </dataValidations>
  <printOptions/>
  <pageMargins bottom="1.05277777777778" footer="0.0" header="0.0" left="0.7875" right="0.7875" top="1.05277777777778"/>
  <pageSetup paperSize="9" orientation="portrait"/>
  <headerFooter>
    <oddHeader/>
    <oddFooter/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2026-02-13T18:13:37Z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