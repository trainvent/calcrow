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2" tabRatio="500"/>
  </bookViews>
  <sheets>
    <sheet name="Januar" sheetId="1" r:id="rId1"/>
    <sheet name="Februar" sheetId="2" r:id="rId2"/>
    <sheet name="Marz" sheetId="3" r:id="rId3"/>
  </sheets>
  <calcPr iterateDelta="1.0E-4"/>
</workbook>
</file>

<file path=xl/sharedStrings.xml><?xml version="1.0" encoding="utf-8"?>
<sst xmlns="http://schemas.openxmlformats.org/spreadsheetml/2006/main" uniqueCount="87" count="87">
  <si>
    <t>Datum</t>
  </si>
  <si>
    <t>Beginn</t>
  </si>
  <si>
    <t>Ende</t>
  </si>
  <si>
    <t>Pause</t>
  </si>
  <si>
    <t>Stunden</t>
  </si>
  <si>
    <t>Stunden Decimal</t>
  </si>
  <si>
    <t>Verdienst</t>
  </si>
  <si>
    <t>2026-01-01</t>
  </si>
  <si>
    <t>08:20:00</t>
  </si>
  <si>
    <t>18:15:00</t>
  </si>
  <si>
    <t>03:00:00</t>
  </si>
  <si>
    <t>Stundenlohn:</t>
  </si>
  <si>
    <t>2026-01-02</t>
  </si>
  <si>
    <t>2026-01-03</t>
  </si>
  <si>
    <t>2026-01-04</t>
  </si>
  <si>
    <t>2026-01-05</t>
  </si>
  <si>
    <t>08:45:00</t>
  </si>
  <si>
    <t>19:15:00</t>
  </si>
  <si>
    <t>00:15:00</t>
  </si>
  <si>
    <t>2026-01-06</t>
  </si>
  <si>
    <t>17:00:00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</si>
  <si>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</si>
  <si>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</si>
  <si>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</si>
  <si>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</si>
  <si>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</si>
  <si>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</si>
  <si>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</si>
  <si>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</si>
  <si>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</si>
  <si>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</si>
  <si>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</si>
  <si>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</si>
  <si>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</si>
  <si>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</si>
  <si>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10:30:00</t>
  </si>
  <si>
    <t>16:30:00</t>
  </si>
  <si>
    <t>2026-01-21</t>
  </si>
  <si>
    <t>2026-01-22</t>
  </si>
  <si>
    <t>2026-01-23</t>
  </si>
  <si>
    <t>08:00:00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</si>
  <si>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</si>
  <si>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</si>
  <si>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</si>
  <si>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</si>
  <si>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</si>
  <si>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</si>
  <si>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</si>
  <si>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</si>
  <si>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Summe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</si>
  <si>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</si>
  <si>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</si>
  <si>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</si>
  <si>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</si>
  <si>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</si>
  <si>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</si>
  <si>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</si>
  <si>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</si>
  <si>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</si>
  <si>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</si>
  <si>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</si>
  <si>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</si>
  <si>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</si>
  <si>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</si>
  <si>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</si>
  <si>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</si>
  <si>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</si>
  <si>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</si>
  <si>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</si>
  <si>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</si>
  <si>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k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</si>
  <si>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</si>
  <si>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</si>
  <si>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</si>
  <si>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</si>
  <si>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</si>
  <si>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</si>
  <si>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</si>
  <si>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</si>
  <si>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2026-02-29</t>
  </si>
  <si>
    <t>2026-02-30</t>
  </si>
  <si>
    <t>2026-02-31</t>
  </si>
  <si>
    <t>Notiz</t>
  </si>
  <si>
    <t>00:10:00</t>
  </si>
  <si>
    <t>aa</t>
  </si>
  <si>
    <t>heyy</t>
  </si>
  <si>
    <t>e</t>
  </si>
</sst>
</file>

<file path=xl/styles.xml><?xml version="1.0" encoding="utf-8"?>
<styleSheet xmlns="http://schemas.openxmlformats.org/spreadsheetml/2006/main">
  <numFmts count="6">
    <numFmt numFmtId="0" formatCode="General"/>
    <numFmt numFmtId="164" formatCode="hh:mm:ss\ AM/PM"/>
    <numFmt numFmtId="165" formatCode="0.0"/>
    <numFmt numFmtId="14" formatCode="dd\.mm\.yyyy"/>
    <numFmt numFmtId="21" formatCode="hh:mm:ss"/>
    <numFmt numFmtId="20" formatCode="hh:mm"/>
  </numFmts>
  <fonts count="6">
    <font>
      <name val="Arial"/>
      <sz val="10"/>
    </font>
    <font>
      <name val="Arial"/>
      <charset val="1"/>
      <sz val="10"/>
      <color rgb="FF000000"/>
    </font>
    <font>
      <name val="Arial"/>
      <charset val="1"/>
      <sz val="10"/>
      <color rgb="FF000000"/>
    </font>
    <font>
      <name val="Times New Roman"/>
      <charset val="1"/>
      <sz val="10"/>
      <color rgb="FF000000"/>
    </font>
    <font>
      <name val="Arial"/>
      <charset val="1"/>
      <sz val="11"/>
      <color rgb="FF000000"/>
    </font>
    <font>
      <name val="Arial"/>
      <b/>
      <charset val="1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vertical="bottom"/>
    </xf>
    <xf numFmtId="164" fontId="2" fillId="0" borderId="0" xfId="0" applyFont="1" applyAlignment="1">
      <alignment vertical="bottom"/>
    </xf>
    <xf numFmtId="165" fontId="2" fillId="0" borderId="0" xfId="0" applyFont="1" applyAlignment="1">
      <alignment vertical="bottom"/>
    </xf>
    <xf numFmtId="165" fontId="3" fillId="0" borderId="0" xfId="0" applyFont="1" applyAlignment="1">
      <alignment vertical="bottom" wrapText="1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165" fontId="5" fillId="0" borderId="0" xfId="0" applyFont="1" applyAlignment="1">
      <alignment vertical="bottom"/>
    </xf>
    <xf numFmtId="0" fontId="4" fillId="0" borderId="0" xfId="0" applyAlignment="1">
      <alignment vertical="bottom"/>
    </xf>
    <xf numFmtId="14" fontId="4" fillId="0" borderId="0" xfId="0" applyAlignment="1">
      <alignment vertical="bottom"/>
    </xf>
    <xf numFmtId="21" fontId="2" fillId="0" borderId="0" xfId="0" applyFont="1" applyAlignment="1">
      <alignment vertical="bottom"/>
    </xf>
    <xf numFmtId="20" fontId="4" fillId="0" borderId="0" xfId="0" applyAlignment="1">
      <alignment vertical="bottom"/>
    </xf>
    <xf numFmtId="21" fontId="4" fillId="0" borderId="0" xfId="0" applyFont="1" applyAlignment="1">
      <alignment horizontal="left" vertical="center"/>
    </xf>
    <xf numFmtId="20" fontId="4" fillId="0" borderId="0" xfId="0" applyFont="1" applyAlignment="1">
      <alignment vertical="bottom"/>
    </xf>
    <xf numFmtId="0" fontId="4" fillId="2" borderId="0" xfId="0" applyFont="1" applyAlignment="1">
      <alignment vertical="bottom"/>
    </xf>
    <xf numFmtId="21" fontId="5" fillId="0" borderId="0" xfId="0" applyFont="1" applyAlignment="1">
      <alignment vertical="bottom"/>
    </xf>
  </cellXfs>
  <cellStyles count="1">
    <cellStyle name="常规" xfId="0" builtinId="0"/>
  </cellStyles>
  <dxfs count="4">
    <dxf>
      <font/>
      <fill>
        <patternFill>
          <bgColor rgb="FFFFFF99"/>
        </patternFill>
      </fill>
    </dxf>
    <dxf>
      <font/>
      <fill>
        <patternFill>
          <bgColor rgb="FFFFFF99"/>
        </patternFill>
      </fill>
    </dxf>
    <dxf>
      <font/>
      <fill>
        <patternFill>
          <bgColor rgb="FFFFFF99"/>
        </patternFill>
      </fill>
    </dxf>
    <dxf>
      <font/>
      <fill>
        <patternFill>
          <bgColor rgb="FFFFFF9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93C47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isplayName="Table_1" id="1" headerRowCount="1" insertRow="0" insertRowShift="0" name="Table_1" published="0" ref="A1:H35">
  <tableColumns count="8">
    <tableColumn id="1" name="Datum"/>
    <tableColumn id="2" name="Beginn"/>
    <tableColumn id="3" name="Ende"/>
    <tableColumn id="4" name="Pause"/>
    <tableColumn id="5" name="Stunden"/>
    <tableColumn id="6" name="Stunden Decimal"/>
    <tableColumn id="7" name="Verdienst"/>
    <tableColumn id="8" name="Notiz"/>
  </tableColumns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000"/>
  <sheetViews>
    <sheetView workbookViewId="0">
      <selection activeCell="A1" sqref="A1"/>
    </sheetView>
  </sheetViews>
  <sheetFormatPr defaultRowHeight="15.0" defaultColWidth="12"/>
  <cols>
    <col min="1" max="1" customWidth="1" bestFit="1" width="11.628906" style="0"/>
    <col min="2" max="2" customWidth="1" bestFit="1" width="11.5" style="0"/>
    <col min="3" max="3" customWidth="1" bestFit="1" width="12.628906" style="0"/>
    <col min="4" max="4" customWidth="1" bestFit="1" width="12.628906" style="0"/>
    <col min="5" max="5" customWidth="1" bestFit="1" width="13.628906" style="0"/>
    <col min="6" max="6" customWidth="1" bestFit="1" width="11.5" style="0"/>
    <col min="7" max="7" customWidth="1" bestFit="1" width="8.628906" style="0"/>
    <col min="8" max="8" customWidth="1" bestFit="1" width="12.628906" style="0"/>
    <col min="9" max="9" customWidth="1" bestFit="1" width="8.75" style="0"/>
    <col min="10" max="10" customWidth="1" bestFit="1" width="8.628906" style="0"/>
  </cols>
  <sheetData>
    <row r="1" spans="8: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8:8" customHeight="1">
      <c r="A2" s="1" t="s">
        <v>7</v>
      </c>
      <c r="B2" s="1" t="s">
        <v>8</v>
      </c>
      <c r="C2" s="1" t="s">
        <v>9</v>
      </c>
      <c r="D2" s="1" t="s">
        <v>10</v>
      </c>
      <c r="E2" s="2">
        <f>C2-B2-D2</f>
        <v>0.288194444444444</v>
      </c>
      <c r="F2" s="3">
        <f>E2*24</f>
        <v>6.916666666666655</v>
      </c>
      <c r="G2" s="4">
        <f>F2*$J$2</f>
        <v>100.2916666666665</v>
      </c>
      <c r="I2" s="1" t="s">
        <v>11</v>
      </c>
      <c r="J2" s="5">
        <v>14.5</v>
      </c>
    </row>
    <row r="3" spans="8:8" customHeight="1">
      <c r="A3" s="1" t="s">
        <v>12</v>
      </c>
      <c r="E3" s="2"/>
    </row>
    <row r="4" spans="8:8" customHeight="1">
      <c r="A4" s="1" t="s">
        <v>13</v>
      </c>
      <c r="E4" s="2"/>
    </row>
    <row r="5" spans="8:8" customHeight="1">
      <c r="A5" s="1" t="s">
        <v>14</v>
      </c>
      <c r="B5" s="1" t="s">
        <v>8</v>
      </c>
      <c r="C5" s="1" t="s">
        <v>9</v>
      </c>
      <c r="D5" s="1" t="s">
        <v>10</v>
      </c>
      <c r="E5" s="2"/>
      <c r="F5" s="3">
        <f>E5*24</f>
        <v>0.0</v>
      </c>
      <c r="G5" s="4">
        <f>F5*$J$2</f>
        <v>0.0</v>
      </c>
    </row>
    <row r="6" spans="8:8" customHeight="1">
      <c r="A6" s="1" t="s">
        <v>15</v>
      </c>
      <c r="B6" s="1" t="s">
        <v>16</v>
      </c>
      <c r="C6" s="1" t="s">
        <v>17</v>
      </c>
      <c r="D6" s="1" t="s">
        <v>18</v>
      </c>
      <c r="E6" s="2"/>
      <c r="F6" s="3"/>
      <c r="G6" s="4"/>
    </row>
    <row r="7" spans="8:8" customHeight="1">
      <c r="A7" s="1" t="s">
        <v>19</v>
      </c>
      <c r="B7" s="1" t="s">
        <v>16</v>
      </c>
      <c r="C7" s="1" t="s">
        <v>20</v>
      </c>
      <c r="D7" s="1" t="s">
        <v>18</v>
      </c>
      <c r="E7" s="2"/>
      <c r="F7" s="3"/>
      <c r="G7" s="4"/>
    </row>
    <row r="8" spans="8:8" customHeight="1">
      <c r="A8" s="1" t="s">
        <v>21</v>
      </c>
      <c r="E8" s="2"/>
      <c r="F8" s="3"/>
      <c r="G8" s="4"/>
    </row>
    <row r="9" spans="8:8" customHeight="1">
      <c r="A9" s="1" t="s">
        <v>22</v>
      </c>
      <c r="E9" s="2"/>
      <c r="F9" s="3"/>
      <c r="G9" s="4"/>
    </row>
    <row r="10" spans="8:8" customHeight="1">
      <c r="A10" s="1" t="s">
        <v>23</v>
      </c>
      <c r="E10" s="2"/>
      <c r="F10" s="3"/>
      <c r="G10" s="4"/>
    </row>
    <row r="11" spans="8:8" customHeight="1">
      <c r="A11" s="1" t="s">
        <v>24</v>
      </c>
      <c r="E11" s="2"/>
      <c r="F11" s="3"/>
      <c r="G11" s="4"/>
    </row>
    <row r="12" spans="8:8" customHeight="1">
      <c r="A12" s="1" t="s">
        <v>25</v>
      </c>
      <c r="B12" s="5"/>
      <c r="C12" s="5"/>
      <c r="D12" s="5"/>
      <c r="E12" s="2"/>
      <c r="F12" s="3"/>
      <c r="G12" s="4"/>
    </row>
    <row r="13" spans="8:8" customHeight="1">
      <c r="A13" s="1" t="s">
        <v>26</v>
      </c>
      <c r="B13" s="1" t="s">
        <v>16</v>
      </c>
      <c r="C13" s="1" t="s">
        <v>20</v>
      </c>
      <c r="D13" s="1" t="s">
        <v>18</v>
      </c>
      <c r="E13" s="2"/>
      <c r="F13" s="3"/>
      <c r="G13" s="4"/>
    </row>
    <row r="14" spans="8:8" customHeight="1">
      <c r="A14" s="1" t="s">
        <v>27</v>
      </c>
      <c r="E14" s="2"/>
      <c r="F14" s="3"/>
      <c r="G14" s="4"/>
    </row>
    <row r="15" spans="8:8" customHeight="1">
      <c r="A15" s="1" t="s">
        <v>28</v>
      </c>
      <c r="E15" s="2"/>
      <c r="F15" s="3"/>
      <c r="G15" s="4"/>
    </row>
    <row r="16" spans="8:8" customHeight="1">
      <c r="A16" s="1" t="s">
        <v>29</v>
      </c>
      <c r="E16" s="2"/>
      <c r="F16" s="3"/>
      <c r="G16" s="4"/>
    </row>
    <row r="17" spans="8:8" customHeight="1">
      <c r="A17" s="1" t="s">
        <v>30</v>
      </c>
      <c r="E17" s="2"/>
      <c r="F17" s="3"/>
      <c r="G17" s="4"/>
    </row>
    <row r="18" spans="8:8" customHeight="1">
      <c r="A18" s="1" t="s">
        <v>31</v>
      </c>
      <c r="E18" s="2"/>
      <c r="F18" s="3"/>
      <c r="G18" s="4"/>
    </row>
    <row r="19" spans="8:8" customHeight="1">
      <c r="A19" s="1" t="s">
        <v>32</v>
      </c>
      <c r="B19" s="5"/>
      <c r="C19" s="5"/>
      <c r="D19" s="5"/>
      <c r="E19" s="2"/>
      <c r="F19" s="3"/>
      <c r="G19" s="4"/>
    </row>
    <row r="20" spans="8:8" customHeight="1">
      <c r="A20" s="1" t="s">
        <v>33</v>
      </c>
      <c r="E20" s="2"/>
      <c r="F20" s="3"/>
      <c r="G20" s="4"/>
    </row>
    <row r="21" spans="8:8" customHeight="1">
      <c r="A21" s="1" t="s">
        <v>34</v>
      </c>
      <c r="B21" s="1" t="s">
        <v>35</v>
      </c>
      <c r="C21" s="1" t="s">
        <v>36</v>
      </c>
      <c r="D21" s="1" t="s">
        <v>18</v>
      </c>
      <c r="E21" s="2"/>
      <c r="F21" s="3"/>
      <c r="G21" s="4"/>
    </row>
    <row r="22" spans="8:8" customHeight="1">
      <c r="A22" s="1" t="s">
        <v>37</v>
      </c>
      <c r="E22" s="2"/>
      <c r="F22" s="3"/>
      <c r="G22" s="4"/>
    </row>
    <row r="23" spans="8:8" customHeight="1">
      <c r="A23" s="1" t="s">
        <v>38</v>
      </c>
      <c r="E23" s="2"/>
      <c r="F23" s="3"/>
      <c r="G23" s="4"/>
    </row>
    <row r="24" spans="8:8" customHeight="1">
      <c r="A24" s="1" t="s">
        <v>39</v>
      </c>
      <c r="B24" s="1" t="s">
        <v>40</v>
      </c>
      <c r="C24" s="1" t="s">
        <v>36</v>
      </c>
      <c r="D24" s="1" t="s">
        <v>18</v>
      </c>
      <c r="E24" s="2"/>
      <c r="F24" s="3"/>
      <c r="G24" s="4"/>
    </row>
    <row r="25" spans="8:8" customHeight="1">
      <c r="A25" s="1" t="s">
        <v>41</v>
      </c>
      <c r="E25" s="2"/>
      <c r="F25" s="3"/>
      <c r="G25" s="4"/>
    </row>
    <row r="26" spans="8:8" customHeight="1">
      <c r="A26" s="1" t="s">
        <v>42</v>
      </c>
      <c r="B26" s="5"/>
      <c r="C26" s="5"/>
      <c r="D26" s="5"/>
      <c r="E26" s="2"/>
      <c r="F26" s="3"/>
      <c r="G26" s="4"/>
    </row>
    <row r="27" spans="8:8" customHeight="1">
      <c r="A27" s="1" t="s">
        <v>43</v>
      </c>
      <c r="E27" s="2"/>
      <c r="F27" s="3"/>
      <c r="G27" s="4"/>
    </row>
    <row r="28" spans="8:8" customHeight="1">
      <c r="A28" s="1" t="s">
        <v>44</v>
      </c>
      <c r="E28" s="2"/>
      <c r="F28" s="3"/>
      <c r="G28" s="4"/>
    </row>
    <row r="29" spans="8:8" customHeight="1">
      <c r="A29" s="1" t="s">
        <v>45</v>
      </c>
      <c r="E29" s="2"/>
      <c r="F29" s="3"/>
      <c r="G29" s="4"/>
    </row>
    <row r="30" spans="8:8" customHeight="1">
      <c r="A30" s="1" t="s">
        <v>46</v>
      </c>
      <c r="E30" s="2"/>
      <c r="F30" s="3"/>
      <c r="G30" s="4"/>
    </row>
    <row r="31" spans="8:8" customHeight="1">
      <c r="A31" s="1" t="s">
        <v>47</v>
      </c>
      <c r="E31" s="2"/>
      <c r="F31" s="3"/>
      <c r="G31" s="4"/>
    </row>
    <row r="32" spans="8:8" customHeight="1">
      <c r="A32" s="1" t="s">
        <v>48</v>
      </c>
      <c r="E32" s="2"/>
      <c r="F32" s="3"/>
      <c r="G32" s="4"/>
    </row>
    <row r="33" spans="8:8" customHeight="1">
      <c r="D33" s="1" t="s">
        <v>49</v>
      </c>
      <c r="F33" s="3"/>
    </row>
    <row r="34" spans="8:8" customHeight="1">
      <c r="E34" s="6"/>
      <c r="F34" s="7">
        <f>SUM(F5:F33)</f>
        <v>0.0</v>
      </c>
      <c r="G34" s="7">
        <f>SUM(G5:G32)</f>
        <v>0.0</v>
      </c>
    </row>
  </sheetData>
  <conditionalFormatting sqref="A1:G1 A2:A4 A5:D5 A6:F6 A7:D32 A33:G34 B2:F2 E3:E5 E7 E8:E32 E9:E32 E9 F5 F7:F32">
    <cfRule type="expression" priority="2" dxfId="0">
      <formula>WEEKDAY($A1,2)&gt;=7</formula>
    </cfRule>
  </conditionalFormatting>
  <conditionalFormatting sqref="E3:E5 E8:E32">
    <cfRule type="expression" priority="3" dxfId="1">
      <formula>WEEKDAY($A8,2)&gt;=7</formula>
    </cfRule>
  </conditionalFormatting>
  <pageMargins left="0.7875" right="0.7875" top="1.05277777777778" bottom="1.05277777777778" header="0.511811023622047" footer="0.511811023622047"/>
  <pageSetup paperSize="9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00"/>
  <sheetViews>
    <sheetView workbookViewId="0">
      <selection activeCell="A1" sqref="A1"/>
    </sheetView>
  </sheetViews>
  <sheetFormatPr defaultRowHeight="15.0" defaultColWidth="12"/>
  <cols>
    <col min="1" max="1" customWidth="1" bestFit="1" width="11.5" style="0"/>
    <col min="2" max="2" customWidth="1" bestFit="1" width="12.628906" style="0"/>
    <col min="3" max="3" customWidth="1" bestFit="1" width="12.628906" style="0"/>
    <col min="4" max="4" customWidth="1" bestFit="1" width="12.628906" style="0"/>
    <col min="5" max="5" customWidth="1" bestFit="1" width="16.25" style="0"/>
    <col min="6" max="6" customWidth="1" bestFit="1" width="16.75" style="0"/>
    <col min="7" max="7" customWidth="1" bestFit="1" width="11.5" style="0"/>
  </cols>
  <sheetData>
    <row r="1" spans="8: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8:8" customHeight="1">
      <c r="A2" s="1" t="s">
        <v>50</v>
      </c>
      <c r="B2" s="1" t="s">
        <v>8</v>
      </c>
      <c r="C2" s="1" t="s">
        <v>9</v>
      </c>
      <c r="D2" s="1" t="s">
        <v>10</v>
      </c>
      <c r="E2" s="2">
        <f>(C2-B2-D2)</f>
        <v>0.2881944444444444</v>
      </c>
      <c r="F2" s="3">
        <f>E2*24</f>
        <v>6.916666666666666</v>
      </c>
      <c r="G2" s="4">
        <f>F2*$J$2</f>
        <v>100.29166666666666</v>
      </c>
      <c r="I2" s="1" t="s">
        <v>11</v>
      </c>
      <c r="J2" s="5">
        <v>14.5</v>
      </c>
    </row>
    <row r="3" spans="8:8" customHeight="1">
      <c r="A3" s="1" t="s">
        <v>51</v>
      </c>
      <c r="E3" s="2">
        <f>C3-B3-D3</f>
        <v>0.0</v>
      </c>
      <c r="F3" s="3"/>
      <c r="G3" s="4"/>
    </row>
    <row r="4" spans="8:8" customHeight="1">
      <c r="A4" s="1" t="s">
        <v>52</v>
      </c>
      <c r="E4" s="2"/>
      <c r="F4" s="3"/>
      <c r="G4" s="4"/>
    </row>
    <row r="5" spans="8:8" customHeight="1">
      <c r="A5" s="1" t="s">
        <v>53</v>
      </c>
      <c r="B5" s="1" t="s">
        <v>8</v>
      </c>
      <c r="C5" s="1" t="s">
        <v>9</v>
      </c>
      <c r="D5" s="1" t="s">
        <v>10</v>
      </c>
      <c r="E5" s="2"/>
      <c r="F5" s="3"/>
      <c r="G5" s="4"/>
    </row>
    <row r="6" spans="8:8" customHeight="1">
      <c r="A6" s="1" t="s">
        <v>54</v>
      </c>
      <c r="B6" s="1" t="s">
        <v>16</v>
      </c>
      <c r="C6" s="1" t="s">
        <v>17</v>
      </c>
      <c r="D6" s="1" t="s">
        <v>18</v>
      </c>
      <c r="E6" s="2"/>
      <c r="F6" s="3"/>
      <c r="G6" s="4"/>
    </row>
    <row r="7" spans="8:8" customHeight="1">
      <c r="A7" s="1" t="s">
        <v>55</v>
      </c>
      <c r="B7" s="1" t="s">
        <v>16</v>
      </c>
      <c r="C7" s="1" t="s">
        <v>20</v>
      </c>
      <c r="D7" s="1" t="s">
        <v>18</v>
      </c>
      <c r="E7" s="2"/>
      <c r="F7" s="3"/>
      <c r="G7" s="4"/>
    </row>
    <row r="8" spans="8:8" customHeight="1">
      <c r="A8" s="1" t="s">
        <v>56</v>
      </c>
      <c r="E8" s="2"/>
      <c r="F8" s="3"/>
      <c r="G8" s="4"/>
    </row>
    <row r="9" spans="8:8" customHeight="1">
      <c r="A9" s="1" t="s">
        <v>57</v>
      </c>
      <c r="B9" s="5"/>
      <c r="C9" s="5"/>
      <c r="D9" s="5"/>
      <c r="E9" s="2"/>
      <c r="F9" s="3"/>
      <c r="G9" s="4"/>
    </row>
    <row r="10" spans="8:8" customHeight="1">
      <c r="A10" s="1" t="s">
        <v>58</v>
      </c>
      <c r="E10" s="2"/>
      <c r="F10" s="3"/>
      <c r="G10" s="4"/>
    </row>
    <row r="11" spans="8:8" customHeight="1">
      <c r="A11" s="1" t="s">
        <v>59</v>
      </c>
      <c r="E11" s="2"/>
      <c r="F11" s="3"/>
      <c r="G11" s="4"/>
    </row>
    <row r="12" spans="8:8" customHeight="1">
      <c r="A12" s="1" t="s">
        <v>60</v>
      </c>
      <c r="E12" s="2"/>
      <c r="F12" s="3"/>
      <c r="G12" s="4"/>
    </row>
    <row r="13" spans="8:8" customHeight="1">
      <c r="A13" s="1" t="s">
        <v>61</v>
      </c>
      <c r="B13" s="1" t="s">
        <v>16</v>
      </c>
      <c r="C13" s="1" t="s">
        <v>20</v>
      </c>
      <c r="D13" s="1" t="s">
        <v>18</v>
      </c>
      <c r="E13" s="2"/>
      <c r="F13" s="3"/>
      <c r="G13" s="4"/>
    </row>
    <row r="14" spans="8:8" customHeight="1">
      <c r="A14" s="1" t="s">
        <v>62</v>
      </c>
      <c r="E14" s="2"/>
      <c r="F14" s="3"/>
      <c r="G14" s="4"/>
    </row>
    <row r="15" spans="8:8" customHeight="1">
      <c r="A15" s="1" t="s">
        <v>63</v>
      </c>
      <c r="E15" s="2"/>
      <c r="F15" s="3"/>
      <c r="G15" s="4"/>
    </row>
    <row r="16" spans="8:8" customHeight="1">
      <c r="A16" s="1" t="s">
        <v>64</v>
      </c>
      <c r="B16" s="5"/>
      <c r="C16" s="5"/>
      <c r="D16" s="5"/>
      <c r="E16" s="2"/>
      <c r="F16" s="3"/>
      <c r="G16" s="4"/>
    </row>
    <row r="17" spans="8:8" customHeight="1">
      <c r="A17" s="1" t="s">
        <v>65</v>
      </c>
      <c r="E17" s="2"/>
      <c r="F17" s="3"/>
      <c r="G17" s="4"/>
    </row>
    <row r="18" spans="8:8" customHeight="1">
      <c r="A18" s="1" t="s">
        <v>66</v>
      </c>
      <c r="E18" s="2"/>
      <c r="F18" s="3"/>
      <c r="G18" s="4"/>
    </row>
    <row r="19" spans="8:8" customHeight="1">
      <c r="A19" s="1" t="s">
        <v>67</v>
      </c>
      <c r="E19" s="2"/>
      <c r="F19" s="3"/>
      <c r="G19" s="4"/>
    </row>
    <row r="20" spans="8:8" customHeight="1">
      <c r="A20" s="1" t="s">
        <v>68</v>
      </c>
      <c r="E20" s="2"/>
      <c r="F20" s="3"/>
      <c r="G20" s="4"/>
    </row>
    <row r="21" spans="8:8" customHeight="1">
      <c r="A21" s="1" t="s">
        <v>69</v>
      </c>
      <c r="B21" s="1" t="s">
        <v>35</v>
      </c>
      <c r="C21" s="1" t="s">
        <v>36</v>
      </c>
      <c r="D21" s="1" t="s">
        <v>18</v>
      </c>
      <c r="E21" s="2"/>
      <c r="F21" s="3"/>
      <c r="G21" s="4"/>
      <c r="K21" s="1" t="s">
        <v>70</v>
      </c>
    </row>
    <row r="22" spans="8:8" customHeight="1">
      <c r="A22" s="1" t="s">
        <v>71</v>
      </c>
      <c r="E22" s="2"/>
      <c r="F22" s="3"/>
      <c r="G22" s="4"/>
    </row>
    <row r="23" spans="8:8" customHeight="1">
      <c r="A23" s="1" t="s">
        <v>72</v>
      </c>
      <c r="B23" s="5"/>
      <c r="C23" s="5"/>
      <c r="D23" s="5"/>
      <c r="E23" s="2"/>
      <c r="F23" s="3"/>
      <c r="G23" s="4"/>
    </row>
    <row r="24" spans="8:8" customHeight="1">
      <c r="A24" s="1" t="s">
        <v>73</v>
      </c>
      <c r="B24" s="1" t="s">
        <v>40</v>
      </c>
      <c r="C24" s="1" t="s">
        <v>36</v>
      </c>
      <c r="D24" s="1" t="s">
        <v>18</v>
      </c>
      <c r="E24" s="2"/>
      <c r="F24" s="3"/>
      <c r="G24" s="4"/>
    </row>
    <row r="25" spans="8:8" customHeight="1">
      <c r="A25" s="1" t="s">
        <v>74</v>
      </c>
      <c r="E25" s="2"/>
      <c r="F25" s="3"/>
      <c r="G25" s="4"/>
    </row>
    <row r="26" spans="8:8" customHeight="1">
      <c r="A26" s="1" t="s">
        <v>75</v>
      </c>
      <c r="E26" s="2"/>
      <c r="F26" s="3"/>
      <c r="G26" s="4"/>
    </row>
    <row r="27" spans="8:8" customHeight="1">
      <c r="A27" s="1" t="s">
        <v>76</v>
      </c>
      <c r="E27" s="2"/>
      <c r="F27" s="3"/>
      <c r="G27" s="4"/>
    </row>
    <row r="28" spans="8:8" customHeight="1">
      <c r="A28" s="1" t="s">
        <v>77</v>
      </c>
      <c r="E28" s="2"/>
      <c r="F28" s="3"/>
      <c r="G28" s="4"/>
    </row>
    <row r="29" spans="8:8" customHeight="1">
      <c r="A29" s="1" t="s">
        <v>78</v>
      </c>
      <c r="E29" s="2"/>
      <c r="F29" s="3"/>
      <c r="G29" s="4"/>
    </row>
    <row r="30" spans="8:8" customHeight="1">
      <c r="A30" s="1" t="s">
        <v>79</v>
      </c>
      <c r="E30" s="2"/>
      <c r="F30" s="3"/>
      <c r="G30" s="4"/>
    </row>
    <row r="31" spans="8:8" customHeight="1">
      <c r="A31" s="1" t="s">
        <v>80</v>
      </c>
      <c r="E31" s="2"/>
      <c r="F31" s="3"/>
      <c r="G31" s="4"/>
    </row>
    <row r="32" spans="8:8" customHeight="1">
      <c r="A32" s="1" t="s">
        <v>81</v>
      </c>
      <c r="E32" s="2"/>
      <c r="F32" s="3"/>
      <c r="G32" s="4"/>
    </row>
    <row r="33" spans="8:8" customHeight="1">
      <c r="D33" s="1" t="s">
        <v>49</v>
      </c>
      <c r="F33" s="3"/>
    </row>
    <row r="34" spans="8:8" customHeight="1">
      <c r="E34" s="6"/>
      <c r="F34" s="7">
        <f>SUM(F5:F33)</f>
        <v>0.0</v>
      </c>
      <c r="G34" s="7">
        <f>SUM(G5:G32)</f>
        <v>0.0</v>
      </c>
    </row>
  </sheetData>
  <conditionalFormatting sqref="A1:G1 A2:A32 A33:G34 B2:F2 B5:D32 E3:F32">
    <cfRule type="expression" priority="2" dxfId="2">
      <formula>WEEKDAY($A1,2)&gt;=7</formula>
    </cfRule>
  </conditionalFormatting>
  <pageMargins left="0.7875" right="0.7875" top="1.05277777777778" bottom="1.05277777777778" header="0.511811023622047" footer="0.511811023622047"/>
  <pageSetup paperSize="9"/>
</worksheet>
</file>

<file path=xl/worksheets/sheet3.xml><?xml version="1.0" encoding="utf-8"?>
<worksheet xmlns:r="http://schemas.openxmlformats.org/officeDocument/2006/relationships" xmlns="http://schemas.openxmlformats.org/spreadsheetml/2006/main">
  <dimension ref="A1:Q1000"/>
  <sheetViews>
    <sheetView tabSelected="1" workbookViewId="0" zoomScale="41">
      <selection activeCell="A1" sqref="A1"/>
    </sheetView>
  </sheetViews>
  <sheetFormatPr defaultRowHeight="15.0" defaultColWidth="12"/>
  <cols>
    <col min="1" max="1" customWidth="1" bestFit="1" width="11.5" style="0"/>
    <col min="2" max="2" customWidth="1" bestFit="1" width="14.0" style="0"/>
    <col min="3" max="3" customWidth="1" bestFit="1" width="12.628906" style="0"/>
    <col min="4" max="4" customWidth="1" bestFit="1" width="13.5" style="0"/>
    <col min="5" max="5" customWidth="1" bestFit="1" width="20.75" style="0"/>
    <col min="6" max="6" customWidth="1" bestFit="1" width="21.378906" style="0"/>
    <col min="7" max="7" customWidth="1" bestFit="1" width="15.75" style="0"/>
    <col min="8" max="8" customWidth="1" bestFit="1" width="11.5" style="0"/>
  </cols>
  <sheetData>
    <row r="1" spans="8: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82</v>
      </c>
    </row>
    <row r="2" spans="8:8" customHeight="1">
      <c r="A2" s="9">
        <v>46082.0</v>
      </c>
      <c r="B2" s="8"/>
      <c r="C2" s="8"/>
      <c r="D2" s="8"/>
      <c r="E2" s="10">
        <f>(C2-B2-D2)</f>
        <v>0.0</v>
      </c>
      <c r="F2" s="3">
        <f>E2*24</f>
        <v>0.0</v>
      </c>
      <c r="G2" s="4">
        <f>F2*$K$2</f>
        <v>0.0</v>
      </c>
      <c r="H2" s="8"/>
      <c r="J2" s="1" t="s">
        <v>11</v>
      </c>
      <c r="K2" s="5">
        <v>14.5</v>
      </c>
    </row>
    <row r="3" spans="8:8" customHeight="1">
      <c r="A3" s="9">
        <v>46083.0</v>
      </c>
      <c r="B3" s="11">
        <v>0.16666666666666666</v>
      </c>
      <c r="C3" s="11">
        <v>0.20833333333333334</v>
      </c>
      <c r="D3" s="8" t="s">
        <v>83</v>
      </c>
      <c r="E3" s="10">
        <f>C3-B3-D3</f>
        <v>0.03472222222222225</v>
      </c>
      <c r="F3" s="12">
        <f>E3*24</f>
        <v>0.833333333333334</v>
      </c>
      <c r="G3" s="12">
        <f>F3*$K$2</f>
        <v>12.083333333333343</v>
      </c>
      <c r="H3" s="8"/>
    </row>
    <row r="4" spans="8:8" customHeight="1">
      <c r="A4" s="9">
        <v>46084.0</v>
      </c>
      <c r="B4" s="8"/>
      <c r="C4" s="8"/>
      <c r="D4" s="8"/>
      <c r="E4" s="5">
        <f>(C4-B4-D4)</f>
        <v>0.0</v>
      </c>
      <c r="F4" s="5">
        <f>E4*24</f>
        <v>0.0</v>
      </c>
      <c r="G4" s="5">
        <f>F4*$K$2</f>
        <v>0.0</v>
      </c>
      <c r="H4" s="8"/>
    </row>
    <row r="5" spans="8:8" customHeight="1">
      <c r="A5" s="9">
        <v>46085.0</v>
      </c>
      <c r="B5" s="8"/>
      <c r="C5" s="8"/>
      <c r="D5" s="8"/>
      <c r="E5" s="5">
        <f>(C5-B5-D5)</f>
        <v>0.0</v>
      </c>
      <c r="F5" s="5">
        <f>E5*24</f>
        <v>0.0</v>
      </c>
      <c r="G5" s="5">
        <f>F5*$K$2</f>
        <v>0.0</v>
      </c>
      <c r="H5" s="8"/>
    </row>
    <row r="6" spans="8:8" customHeight="1">
      <c r="A6" s="9">
        <v>46086.0</v>
      </c>
      <c r="B6" s="8"/>
      <c r="C6" s="8"/>
      <c r="D6" s="8"/>
      <c r="E6" s="5">
        <f>(C6-B6-D6)</f>
        <v>0.0</v>
      </c>
      <c r="F6" s="5">
        <f>E6*24</f>
        <v>0.0</v>
      </c>
      <c r="G6" s="5">
        <f>F6*$K$2</f>
        <v>0.0</v>
      </c>
      <c r="H6" s="8"/>
    </row>
    <row r="7" spans="8:8" customHeight="1">
      <c r="A7" s="9">
        <v>46087.0</v>
      </c>
      <c r="B7" s="8"/>
      <c r="C7" s="8"/>
      <c r="D7" s="8"/>
      <c r="E7" s="5">
        <f>(C7-B7-D7)</f>
        <v>0.0</v>
      </c>
      <c r="F7" s="5">
        <f>E7*24</f>
        <v>0.0</v>
      </c>
      <c r="G7" s="5">
        <f>F7*$K$2</f>
        <v>0.0</v>
      </c>
      <c r="H7" s="8"/>
    </row>
    <row r="8" spans="8:8" customHeight="1">
      <c r="A8" s="9">
        <v>46088.0</v>
      </c>
      <c r="B8" s="8"/>
      <c r="C8" s="8"/>
      <c r="D8" s="8"/>
      <c r="E8" s="5">
        <f>(C8-B8-D8)</f>
        <v>0.0</v>
      </c>
      <c r="F8" s="5">
        <f>E8*24</f>
        <v>0.0</v>
      </c>
      <c r="G8" s="5">
        <f>F8*$K$2</f>
        <v>0.0</v>
      </c>
      <c r="H8" s="8"/>
    </row>
    <row r="9" spans="8:8" customHeight="1">
      <c r="A9" s="9">
        <v>46089.0</v>
      </c>
      <c r="B9" s="8"/>
      <c r="C9" s="8"/>
      <c r="D9" s="8"/>
      <c r="E9" s="5">
        <f>(C9-B9-D9)</f>
        <v>0.0</v>
      </c>
      <c r="F9" s="5">
        <f>E9*24</f>
        <v>0.0</v>
      </c>
      <c r="G9" s="5">
        <f>F9*$K$2</f>
        <v>0.0</v>
      </c>
      <c r="H9" s="8"/>
    </row>
    <row r="10" spans="8:8" customHeight="1">
      <c r="A10" s="9">
        <v>46090.0</v>
      </c>
      <c r="B10" s="8"/>
      <c r="C10" s="8"/>
      <c r="D10" s="8"/>
      <c r="E10" s="5">
        <f>(C10-B10-D10)</f>
        <v>0.0</v>
      </c>
      <c r="F10" s="5">
        <f>E10*24</f>
        <v>0.0</v>
      </c>
      <c r="G10" s="5">
        <f>F10*$K$2</f>
        <v>0.0</v>
      </c>
      <c r="H10" s="8"/>
    </row>
    <row r="11" spans="8:8" customHeight="1">
      <c r="A11" s="9">
        <v>46091.0</v>
      </c>
      <c r="B11" s="11">
        <v>0.2513888888888889</v>
      </c>
      <c r="C11" s="11">
        <v>0.7513888888888889</v>
      </c>
      <c r="D11" s="8" t="s">
        <v>83</v>
      </c>
      <c r="E11" s="13">
        <f>(C11-B11-D11)</f>
        <v>0.4930555555555556</v>
      </c>
      <c r="F11" s="13">
        <f>E11*24</f>
        <v>11.833333333333334</v>
      </c>
      <c r="G11" s="13">
        <f>F11*$K$2</f>
        <v>171.58333333333334</v>
      </c>
      <c r="H11" s="8" t="s">
        <v>84</v>
      </c>
    </row>
    <row r="12" spans="8:8" customHeight="1">
      <c r="A12" s="9">
        <v>46092.0</v>
      </c>
      <c r="B12" s="8"/>
      <c r="C12" s="8"/>
      <c r="D12" s="8"/>
      <c r="E12" s="5">
        <f>(C12-B12-D12)</f>
        <v>0.0</v>
      </c>
      <c r="F12" s="5">
        <f>E12*24</f>
        <v>0.0</v>
      </c>
      <c r="G12" s="5">
        <f>F12*$K$2</f>
        <v>0.0</v>
      </c>
      <c r="H12" s="8"/>
    </row>
    <row r="13" spans="8:8" customHeight="1">
      <c r="A13" s="9">
        <v>46093.0</v>
      </c>
      <c r="B13" s="11">
        <v>0.5006944444444444</v>
      </c>
      <c r="C13" s="11">
        <v>0.7083333333333334</v>
      </c>
      <c r="D13" s="8" t="s">
        <v>83</v>
      </c>
      <c r="E13" s="5">
        <f>(C13-B13-D13)</f>
        <v>0.20069444444444448</v>
      </c>
      <c r="F13" s="5">
        <f>E13*24</f>
        <v>4.816666666666667</v>
      </c>
      <c r="G13" s="5">
        <f>F13*$K$2</f>
        <v>69.84166666666668</v>
      </c>
      <c r="H13" s="8" t="s">
        <v>85</v>
      </c>
      <c r="K13" s="1" t="s">
        <v>86</v>
      </c>
    </row>
    <row r="14" spans="8:8" customHeight="1">
      <c r="A14" s="9">
        <v>46094.0</v>
      </c>
      <c r="B14" s="8"/>
      <c r="C14" s="8"/>
      <c r="D14" s="8"/>
      <c r="E14" s="5">
        <f>(C14-B14-D14)</f>
        <v>0.0</v>
      </c>
      <c r="F14" s="5">
        <f>E14*24</f>
        <v>0.0</v>
      </c>
      <c r="G14" s="5">
        <f>F14*$K$2</f>
        <v>0.0</v>
      </c>
      <c r="H14" s="8"/>
    </row>
    <row r="15" spans="8:8" customHeight="1">
      <c r="A15" s="9">
        <v>46095.0</v>
      </c>
      <c r="B15" s="8"/>
      <c r="C15" s="8"/>
      <c r="D15" s="8"/>
      <c r="E15" s="5">
        <f>(C15-B15-D15)</f>
        <v>0.0</v>
      </c>
      <c r="F15" s="5">
        <f>E15*24</f>
        <v>0.0</v>
      </c>
      <c r="G15" s="5">
        <f>F15*$K$2</f>
        <v>0.0</v>
      </c>
      <c r="H15" s="8"/>
    </row>
    <row r="16" spans="8:8" customHeight="1">
      <c r="A16" s="9">
        <v>46096.0</v>
      </c>
      <c r="B16" s="8"/>
      <c r="C16" s="8"/>
      <c r="D16" s="8"/>
      <c r="E16" s="5">
        <f>(C16-B16-D16)</f>
        <v>0.0</v>
      </c>
      <c r="F16" s="5">
        <f>E16*24</f>
        <v>0.0</v>
      </c>
      <c r="G16" s="5">
        <f>F16*$K$2</f>
        <v>0.0</v>
      </c>
      <c r="H16" s="8"/>
    </row>
    <row r="17" spans="8:8" customHeight="1">
      <c r="A17" s="9">
        <v>46097.0</v>
      </c>
      <c r="B17" s="8"/>
      <c r="C17" s="8"/>
      <c r="D17" s="8"/>
      <c r="E17" s="5">
        <f>(C17-B17-D17)</f>
        <v>0.0</v>
      </c>
      <c r="F17" s="5">
        <f>E17*24</f>
        <v>0.0</v>
      </c>
      <c r="G17" s="5">
        <f>F17*$K$2</f>
        <v>0.0</v>
      </c>
      <c r="H17" s="8"/>
    </row>
    <row r="18" spans="8:8" customHeight="1">
      <c r="A18" s="9">
        <v>46098.0</v>
      </c>
      <c r="B18" s="8"/>
      <c r="C18" s="8"/>
      <c r="D18" s="8"/>
      <c r="E18" s="5">
        <f>(C18-B18-D18)</f>
        <v>0.0</v>
      </c>
      <c r="F18" s="5">
        <f>E18*24</f>
        <v>0.0</v>
      </c>
      <c r="G18" s="5">
        <f>F18*$K$2</f>
        <v>0.0</v>
      </c>
      <c r="H18" s="8"/>
    </row>
    <row r="19" spans="8:8" customHeight="1">
      <c r="A19" s="9">
        <v>46099.0</v>
      </c>
      <c r="B19" s="8"/>
      <c r="C19" s="8"/>
      <c r="D19" s="8"/>
      <c r="E19" s="5">
        <f>(C19-B19-D19)</f>
        <v>0.0</v>
      </c>
      <c r="F19" s="5">
        <f>E19*24</f>
        <v>0.0</v>
      </c>
      <c r="G19" s="5">
        <f>F19*$K$2</f>
        <v>0.0</v>
      </c>
      <c r="H19" s="8"/>
    </row>
    <row r="20" spans="8:8" customHeight="1">
      <c r="A20" s="9">
        <v>46100.0</v>
      </c>
      <c r="B20" s="8"/>
      <c r="C20" s="8"/>
      <c r="D20" s="8"/>
      <c r="E20" s="5">
        <f>(C20-B20-D20)</f>
        <v>0.0</v>
      </c>
      <c r="F20" s="5">
        <f>E20*24</f>
        <v>0.0</v>
      </c>
      <c r="G20" s="5">
        <f>F20*$K$2</f>
        <v>0.0</v>
      </c>
      <c r="H20" s="8"/>
      <c r="L20" s="14"/>
      <c r="M20" s="14"/>
      <c r="N20" s="14"/>
      <c r="O20" s="14"/>
      <c r="P20" s="14"/>
    </row>
    <row r="21" spans="8:8" customHeight="1">
      <c r="A21" s="9">
        <v>46101.0</v>
      </c>
      <c r="B21" s="8"/>
      <c r="C21" s="8"/>
      <c r="D21" s="8"/>
      <c r="E21" s="5">
        <f>(C21-B21-D21)</f>
        <v>0.0</v>
      </c>
      <c r="F21" s="5">
        <f>E21*24</f>
        <v>0.0</v>
      </c>
      <c r="G21" s="5">
        <f>F21*$K$2</f>
        <v>0.0</v>
      </c>
      <c r="H21" s="8"/>
    </row>
    <row r="22" spans="8:8" customHeight="1">
      <c r="A22" s="9">
        <v>46102.0</v>
      </c>
      <c r="B22" s="8"/>
      <c r="C22" s="8"/>
      <c r="D22" s="8"/>
      <c r="E22" s="5">
        <f>(C22-B22-D22)</f>
        <v>0.0</v>
      </c>
      <c r="F22" s="5">
        <f>E22*24</f>
        <v>0.0</v>
      </c>
      <c r="G22" s="5">
        <f>F22*$K$2</f>
        <v>0.0</v>
      </c>
      <c r="H22" s="8"/>
    </row>
    <row r="23" spans="8:8" customHeight="1">
      <c r="A23" s="9">
        <v>46103.0</v>
      </c>
      <c r="B23" s="8"/>
      <c r="C23" s="8"/>
      <c r="D23" s="8"/>
      <c r="E23" s="5">
        <f>(C23-B23-D23)</f>
        <v>0.0</v>
      </c>
      <c r="F23" s="5">
        <f>E23*24</f>
        <v>0.0</v>
      </c>
      <c r="G23" s="5">
        <f>F23*$K$2</f>
        <v>0.0</v>
      </c>
      <c r="H23" s="8"/>
    </row>
    <row r="24" spans="8:8" customHeight="1">
      <c r="A24" s="9">
        <v>46104.0</v>
      </c>
      <c r="B24" s="8"/>
      <c r="C24" s="8"/>
      <c r="D24" s="8"/>
      <c r="E24" s="5">
        <f>(C24-B24-D24)</f>
        <v>0.0</v>
      </c>
      <c r="F24" s="5">
        <f>E24*24</f>
        <v>0.0</v>
      </c>
      <c r="G24" s="5">
        <f>F24*$K$2</f>
        <v>0.0</v>
      </c>
      <c r="H24" s="8"/>
    </row>
    <row r="25" spans="8:8" customHeight="1">
      <c r="A25" s="9">
        <v>46105.0</v>
      </c>
      <c r="B25" s="8"/>
      <c r="C25" s="8"/>
      <c r="D25" s="8"/>
      <c r="E25" s="5">
        <f>(C25-B25-D25)</f>
        <v>0.0</v>
      </c>
      <c r="F25" s="5">
        <f>E25*24</f>
        <v>0.0</v>
      </c>
      <c r="G25" s="5">
        <f>F25*$K$2</f>
        <v>0.0</v>
      </c>
      <c r="H25" s="8"/>
    </row>
    <row r="26" spans="8:8" customHeight="1">
      <c r="A26" s="9">
        <v>46106.0</v>
      </c>
      <c r="B26" s="8"/>
      <c r="C26" s="8"/>
      <c r="D26" s="8"/>
      <c r="E26" s="5">
        <f>(C26-B26-D26)</f>
        <v>0.0</v>
      </c>
      <c r="F26" s="5">
        <f>E26*24</f>
        <v>0.0</v>
      </c>
      <c r="G26" s="5">
        <f>F26*$K$2</f>
        <v>0.0</v>
      </c>
      <c r="H26" s="8"/>
    </row>
    <row r="27" spans="8:8" customHeight="1">
      <c r="A27" s="9">
        <v>46107.0</v>
      </c>
      <c r="B27" s="8"/>
      <c r="C27" s="8"/>
      <c r="D27" s="8"/>
      <c r="E27" s="5">
        <f>(C27-B27-D27)</f>
        <v>0.0</v>
      </c>
      <c r="F27" s="5">
        <f>E27*24</f>
        <v>0.0</v>
      </c>
      <c r="G27" s="5">
        <f>F27*$K$2</f>
        <v>0.0</v>
      </c>
      <c r="H27" s="8"/>
    </row>
    <row r="28" spans="8:8" customHeight="1">
      <c r="A28" s="9">
        <v>46108.0</v>
      </c>
      <c r="B28" s="8"/>
      <c r="C28" s="8"/>
      <c r="D28" s="8"/>
      <c r="E28" s="5">
        <f>(C28-B28-D28)</f>
        <v>0.0</v>
      </c>
      <c r="F28" s="5">
        <f>E28*24</f>
        <v>0.0</v>
      </c>
      <c r="G28" s="5">
        <f>F28*$K$2</f>
        <v>0.0</v>
      </c>
      <c r="H28" s="8"/>
    </row>
    <row r="29" spans="8:8" customHeight="1">
      <c r="A29" s="9">
        <v>46109.0</v>
      </c>
      <c r="B29" s="8"/>
      <c r="C29" s="8"/>
      <c r="D29" s="8"/>
      <c r="E29" s="5">
        <f>(C29-B29-D29)</f>
        <v>0.0</v>
      </c>
      <c r="F29" s="5">
        <f>E29*24</f>
        <v>0.0</v>
      </c>
      <c r="G29" s="5">
        <f>F29*$K$2</f>
        <v>0.0</v>
      </c>
      <c r="H29" s="8"/>
    </row>
    <row r="30" spans="8:8" customHeight="1">
      <c r="A30" s="9">
        <v>46110.0</v>
      </c>
      <c r="B30" s="8"/>
      <c r="C30" s="8"/>
      <c r="D30" s="8"/>
      <c r="E30" s="5">
        <f>(C30-B30-D30)</f>
        <v>0.0</v>
      </c>
      <c r="F30" s="5">
        <f>E30*24</f>
        <v>0.0</v>
      </c>
      <c r="G30" s="5">
        <f>F30*$K$2</f>
        <v>0.0</v>
      </c>
      <c r="H30" s="8"/>
    </row>
    <row r="31" spans="8:8" customHeight="1">
      <c r="A31" s="9">
        <v>46111.0</v>
      </c>
      <c r="B31" s="8"/>
      <c r="C31" s="8"/>
      <c r="D31" s="8"/>
      <c r="E31" s="5">
        <f>(C31-B31-D31)</f>
        <v>0.0</v>
      </c>
      <c r="F31" s="5">
        <f>E31*24</f>
        <v>0.0</v>
      </c>
      <c r="G31" s="5">
        <f>F31*$K$2</f>
        <v>0.0</v>
      </c>
      <c r="H31" s="8"/>
    </row>
    <row r="32" spans="8:8" customHeight="1">
      <c r="A32" s="9">
        <v>46112.0</v>
      </c>
      <c r="B32" s="8"/>
      <c r="C32" s="8"/>
      <c r="D32" s="8"/>
      <c r="E32" s="5">
        <f>(C32-B32-D32)</f>
        <v>0.0</v>
      </c>
      <c r="F32" s="5">
        <f>E32*24</f>
        <v>0.0</v>
      </c>
      <c r="G32" s="5">
        <f>F32*$K$2</f>
        <v>0.0</v>
      </c>
      <c r="H32" s="8"/>
    </row>
    <row r="33" spans="8:8" customHeight="1">
      <c r="A33" s="8"/>
      <c r="B33" s="8"/>
      <c r="C33" s="8"/>
      <c r="D33" s="8" t="s">
        <v>49</v>
      </c>
      <c r="E33" s="8" t="e">
        <f>(C33-B33-D33)</f>
        <v>#VALUE!</v>
      </c>
      <c r="F33" s="8" t="e">
        <f>E33*24</f>
        <v>#VALUE!</v>
      </c>
      <c r="G33" s="8" t="e">
        <f>F33*$K$2</f>
        <v>#VALUE!</v>
      </c>
      <c r="H33" s="8"/>
    </row>
    <row r="34" spans="8:8" customHeight="1">
      <c r="A34" s="8"/>
      <c r="B34" s="8"/>
      <c r="C34" s="8"/>
      <c r="D34" s="8"/>
      <c r="E34" s="12">
        <f>SUM(E2:E32)</f>
        <v>0.7284722222222223</v>
      </c>
      <c r="F34" s="12">
        <f>E34*24</f>
        <v>17.483333333333334</v>
      </c>
      <c r="G34" s="12">
        <f>F34*$K$2</f>
        <v>253.50833333333335</v>
      </c>
      <c r="H34" s="8"/>
    </row>
    <row r="35" spans="8:8" customHeight="1">
      <c r="A35" s="5"/>
      <c r="B35" s="5"/>
      <c r="C35" s="5"/>
      <c r="D35" s="5"/>
      <c r="E35" s="15"/>
      <c r="F35" s="7" t="e">
        <f>SUM(F6:F34)</f>
        <v>#VALUE!</v>
      </c>
      <c r="G35" s="7" t="e">
        <f>SUM(G6:G33)</f>
        <v>#VALUE!</v>
      </c>
      <c r="H35" s="5"/>
    </row>
  </sheetData>
  <conditionalFormatting sqref="A3:A34 A1:D2 E1:F35 G1 B5:C34 D5:D35 G33:G35">
    <cfRule type="expression" priority="2" dxfId="3">
      <formula>WEEKDAY($A1,2)&gt;=7</formula>
    </cfRule>
  </conditionalFormatting>
  <dataValidations count="6">
    <dataValidation allowBlank="1" type="custom" showDropDown="1" errorStyle="stop" sqref="F2:G33">
      <formula1>AND(ISNUMBER(F2),(NOT(OR(NOT(ISERROR(DATEVALUE(F2))),AND(ISNUMBER(F2),LEFT(CELL("format",F2))="D")))))</formula1>
      <formula2>0</formula2>
    </dataValidation>
    <dataValidation allowBlank="1" type="custom" showDropDown="1" errorStyle="stop" sqref="G34:G35">
      <formula1>AND(ISNUMBER(G34),(NOT(OR(NOT(ISERROR(DATEVALUE(G34))),AND(ISNUMBER(G34),LEFT(CELL("format",G34))="D")))))</formula1>
      <formula2>0</formula2>
    </dataValidation>
    <dataValidation allowBlank="1" type="custom" showDropDown="1" errorStyle="stop" sqref="F35">
      <formula1>AND(ISNUMBER(F35),(NOT(OR(NOT(ISERROR(DATEVALUE(F35))),AND(ISNUMBER(F35),LEFT(CELL("format",F35))="D")))))</formula1>
      <formula2>0</formula2>
    </dataValidation>
    <dataValidation allowBlank="1" type="custom" showDropDown="1" errorStyle="stop" sqref="D35:E35">
      <formula1>OR(TIMEVALUE(TEXT(D35,"hh:mm:ss"))=D35,AND(ISNUMBER(D35),LEFT(CELL("format",D35))="D"))</formula1>
      <formula2>0</formula2>
    </dataValidation>
    <dataValidation allowBlank="1" type="custom" showDropDown="1" errorStyle="stop" sqref="F34">
      <formula1>AND(ISNUMBER(#REF!),(NOT(OR(NOT(ISERROR(DATEVALUE(#REF!))),AND(ISNUMBER(#REF!),LEFT(CELL("format",#REF!))="D")))))</formula1>
      <formula2>0</formula2>
    </dataValidation>
    <dataValidation allowBlank="1" type="custom" showDropDown="1" errorStyle="stop" sqref="B2:E34">
      <formula1>OR(TIMEVALUE(TEXT(B2,"hh:mm:ss"))=B2,AND(ISNUMBER(B2),LEFT(CELL("format",B2))="D"))</formula1>
      <formula2>0</formula2>
    </dataValidation>
  </dataValidations>
  <pageMargins left="0.7875" right="0.7875" top="1.05277777777778" bottom="1.05277777777778" header="0.511811023622047" footer="0.511811023622047"/>
  <pageSetup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2406APNFAG</dc:creator>
  <dcterms:created xsi:type="dcterms:W3CDTF">2026-02-13T17:13:37Z</dcterms:created>
  <dcterms:modified xsi:type="dcterms:W3CDTF">2026-03-12T18:03:08Z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ae5340f9c1544ef9bdd33b192f78eadf</vt:lpwstr>
  </property>
</Properties>
</file>